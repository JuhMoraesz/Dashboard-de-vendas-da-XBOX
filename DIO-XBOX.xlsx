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lianamoraes\Downloads\"/>
    </mc:Choice>
  </mc:AlternateContent>
  <xr:revisionPtr revIDLastSave="0" documentId="13_ncr:10000001_{4F468E43-54E4-4100-BFC8-8AF4AB2F82C2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C27" i="3"/>
</calcChain>
</file>

<file path=xl/sharedStrings.xml><?xml version="1.0" encoding="utf-8"?>
<sst xmlns="http://schemas.openxmlformats.org/spreadsheetml/2006/main" count="2028" uniqueCount="326">
  <si>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</si>
  <si>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</si>
  <si>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</si>
  <si>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</si>
  <si>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</si>
  <si>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</si>
  <si>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</si>
  <si>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</si>
  <si>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</si>
  <si>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</si>
  <si>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</si>
  <si>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</si>
  <si>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</si>
  <si>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</si>
  <si>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</si>
  <si>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</si>
  <si>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</si>
  <si>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</si>
  <si>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</si>
  <si>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</si>
  <si>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</si>
  <si>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</si>
  <si>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</si>
  <si>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</si>
  <si>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</si>
  <si>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</si>
  <si>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</si>
  <si>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</si>
  <si>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</si>
  <si>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</si>
  <si>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</si>
  <si>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</si>
  <si>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</si>
  <si>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</si>
  <si>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</si>
  <si>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</si>
  <si>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</si>
  <si>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</si>
  <si>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</si>
  <si>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</si>
  <si>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</si>
  <si>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</si>
  <si>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</si>
  <si>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</si>
  <si>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</si>
  <si>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</si>
  <si>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</si>
  <si>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</si>
  <si>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</si>
  <si>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</si>
  <si>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</si>
  <si>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</si>
  <si>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</si>
  <si>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</si>
  <si>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</si>
  <si>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</si>
  <si>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</si>
  <si>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</si>
  <si>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</si>
  <si>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</si>
  <si>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</si>
  <si>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</si>
  <si>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</si>
  <si>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</si>
  <si>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</si>
  <si>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</si>
  <si>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</si>
  <si>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</si>
  <si>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</si>
  <si>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</si>
  <si>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</si>
  <si>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</si>
  <si>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</si>
  <si>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</si>
  <si>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</si>
  <si>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</si>
  <si>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</si>
  <si>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</si>
  <si>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</si>
  <si>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</si>
  <si>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</si>
  <si>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</si>
  <si>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</si>
  <si>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</si>
  <si>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</si>
  <si>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</si>
  <si>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</si>
  <si>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</si>
  <si>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</si>
  <si>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</si>
  <si>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</si>
  <si>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</si>
  <si>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</si>
  <si>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</si>
  <si>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</si>
  <si>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</si>
  <si>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</si>
  <si>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</si>
  <si>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</si>
  <si>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</si>
  <si>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</si>
  <si>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</si>
  <si>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</si>
  <si>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</si>
  <si>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</si>
  <si>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</si>
  <si>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</si>
  <si>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</si>
  <si>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</si>
  <si>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</si>
  <si>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</si>
  <si>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</si>
  <si>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</si>
  <si>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</si>
  <si>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</si>
  <si>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</si>
  <si>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</si>
  <si>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</si>
  <si>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</si>
  <si>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</si>
  <si>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</si>
  <si>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</si>
  <si>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</si>
  <si>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</si>
  <si>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</si>
  <si>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</si>
  <si>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</si>
  <si>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</si>
  <si>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</si>
  <si>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</si>
  <si>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</si>
  <si>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</si>
  <si>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</si>
  <si>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</si>
  <si>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</si>
  <si>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</si>
  <si>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</si>
  <si>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</si>
  <si>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</si>
  <si>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</si>
  <si>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</si>
  <si>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</si>
  <si>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</si>
  <si>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</si>
  <si>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</si>
  <si>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</si>
  <si>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</si>
  <si>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</si>
  <si>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</si>
  <si>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</si>
  <si>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</si>
  <si>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</si>
  <si>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</si>
  <si>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</si>
  <si>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</si>
  <si>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</si>
  <si>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</si>
  <si>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</si>
  <si>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</si>
  <si>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</si>
  <si>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</si>
  <si>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</si>
  <si>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</si>
  <si>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</si>
  <si>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</si>
  <si>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</si>
  <si>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</si>
  <si>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</si>
  <si>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</si>
  <si>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</si>
  <si>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</si>
  <si>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</si>
  <si>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</si>
  <si>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</si>
  <si>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</si>
  <si>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</si>
  <si>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</si>
  <si>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</si>
  <si>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</si>
  <si>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</si>
  <si>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</si>
  <si>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</si>
  <si>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</si>
  <si>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</si>
  <si>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</si>
  <si>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</si>
  <si>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</si>
  <si>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</si>
  <si>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</si>
  <si>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</si>
  <si>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</si>
  <si>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</si>
  <si>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</si>
  <si>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</si>
  <si>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</si>
  <si>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</si>
  <si>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</si>
  <si>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</si>
  <si>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</si>
  <si>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</si>
  <si>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</si>
  <si>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</si>
  <si>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</si>
  <si>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</si>
  <si>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</si>
  <si>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</si>
  <si>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</si>
  <si>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</si>
  <si>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</si>
  <si>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</si>
  <si>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</si>
  <si>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</si>
  <si>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</si>
  <si>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</si>
  <si>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</si>
  <si>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</si>
  <si>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</si>
  <si>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</si>
  <si>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</si>
  <si>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</si>
  <si>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</si>
  <si>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</si>
  <si>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</si>
  <si>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</si>
  <si>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</si>
  <si>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</si>
  <si>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</si>
  <si>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</si>
  <si>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</si>
  <si>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</si>
  <si>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</si>
  <si>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</si>
  <si>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</si>
  <si>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</si>
  <si>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</si>
  <si>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</si>
  <si>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</si>
  <si>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</si>
  <si>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</si>
  <si>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</si>
  <si>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</si>
  <si>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</si>
  <si>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</si>
  <si>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</si>
  <si>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</si>
  <si>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</si>
  <si>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</si>
  <si>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</si>
  <si>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</si>
  <si>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</si>
  <si>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</si>
  <si>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</si>
  <si>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</si>
  <si>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</si>
  <si>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</si>
  <si>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</si>
  <si>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</si>
  <si>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</si>
  <si>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</si>
  <si>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</si>
  <si>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</si>
  <si>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</si>
  <si>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</si>
  <si>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</si>
  <si>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</si>
  <si>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</si>
  <si>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</si>
  <si>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</si>
  <si>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</si>
  <si>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</si>
  <si>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</si>
  <si>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</si>
  <si>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</si>
  <si>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</si>
  <si>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</si>
  <si>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</si>
  <si>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</si>
  <si>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</si>
  <si>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</si>
  <si>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</si>
  <si>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</si>
  <si>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</si>
  <si>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</si>
  <si>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</si>
  <si>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</si>
  <si>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</si>
  <si>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</si>
  <si>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</si>
  <si>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</si>
  <si>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</si>
  <si>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</si>
  <si>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</si>
  <si>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</si>
  <si>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</si>
  <si>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</si>
  <si>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</si>
  <si>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</si>
  <si>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</si>
  <si>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</si>
  <si>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</si>
  <si>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</si>
  <si>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</si>
  <si>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</si>
  <si>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</si>
  <si>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</si>
  <si>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</si>
  <si>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</si>
  <si>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</si>
  <si>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</si>
  <si>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</si>
  <si>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</si>
  <si>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</si>
  <si>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</si>
  <si>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Qual plano deu mais lucro ?</t>
  </si>
  <si>
    <t>qual tipo de subcrição foi mais contratado</t>
  </si>
  <si>
    <t>qual dos auto renovação deu mais lucro ?</t>
  </si>
  <si>
    <t>EA Play Season Pass VS Minecraft Season Pass Price</t>
  </si>
  <si>
    <t>Total Geral</t>
  </si>
  <si>
    <t>Rótulos de Linha</t>
  </si>
  <si>
    <t>(Tudo)</t>
  </si>
  <si>
    <t>Soma de Total Value</t>
  </si>
  <si>
    <t>Soma de EA Play Season Pass</t>
  </si>
  <si>
    <t>Soma de Minecraft Season Pass Price</t>
  </si>
  <si>
    <t>XBOX GAME PASS SUBSCRIPTIONS SALES</t>
  </si>
  <si>
    <t xml:space="preserve">        Bem Vindo (a)</t>
  </si>
  <si>
    <t>Calculation period: 01/01/2024 - 31/12/2024|Update: 25/12/2024 09:00:01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</si>
</sst>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Segoe UI"/>
      <family val="2"/>
    </font>
    <font>
      <sz val="36"/>
      <color theme="1"/>
      <name val="Segeo iu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0" fontId="0" fillId="0" borderId="2" xfId="0" applyBorder="1"/>
    <xf numFmtId="0" fontId="4" fillId="0" borderId="2" xfId="0" applyFont="1" applyBorder="1"/>
    <xf numFmtId="0" fontId="6" fillId="3" borderId="0" xfId="0" applyFont="1" applyFill="1"/>
    <xf numFmtId="44" fontId="5" fillId="7" borderId="0" xfId="2" applyFont="1" applyFill="1" applyAlignment="1">
      <alignment horizont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2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9BC848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9BC848"/>
        </patternFill>
      </fill>
    </dxf>
    <dxf>
      <fill>
        <patternFill>
          <bgColor rgb="FF9BC848"/>
        </patternFill>
      </fill>
    </dxf>
    <dxf>
      <fill>
        <patternFill>
          <bgColor rgb="FF9BC848"/>
        </patternFill>
      </fill>
    </dxf>
    <dxf>
      <fill>
        <patternFill>
          <bgColor rgb="FF9BC848"/>
        </patternFill>
      </fill>
    </dxf>
    <dxf>
      <fill>
        <patternFill>
          <bgColor rgb="FF9BC848"/>
        </patternFill>
      </fill>
    </dxf>
    <dxf>
      <fill>
        <patternFill>
          <bgColor rgb="FF92D050"/>
        </patternFill>
      </fill>
    </dxf>
  </dxfs>
  <tableStyles count="4" defaultTableStyle="TableStyleMedium2" defaultPivotStyle="PivotStyleLight16">
    <tableStyle name="Estilo de Segmentação de Dados 1" pivot="0" table="0" count="3" xr9:uid="{4E2F2A96-6523-43C6-8EB0-A84C8C54E1E2}">
      <tableStyleElement type="wholeTable" dxfId="21"/>
      <tableStyleElement type="headerRow" dxfId="20"/>
    </tableStyle>
    <tableStyle name="Estilo de Segmentação de Dados 2" pivot="0" table="0" count="7" xr9:uid="{51FF966C-C749-4105-BB7B-C9ECE45BA70C}">
      <tableStyleElement type="wholeTable" dxfId="19"/>
      <tableStyleElement type="headerRow" dxfId="18"/>
    </tableStyle>
    <tableStyle name="Estilo de Segmentação de Dados 2 2" pivot="0" table="0" count="6" xr9:uid="{DD4FF911-3122-4424-B777-BA80D360192F}">
      <tableStyleElement type="wholeTable" dxfId="17"/>
      <tableStyleElement type="headerRow" dxfId="16"/>
    </tableStyle>
    <tableStyle name="SlicerStyleLight6 2" pivot="0" table="0" count="10" xr9:uid="{43F750CD-4D11-411C-AC52-052CCA727F39}">
      <tableStyleElement type="wholeTable" dxfId="1"/>
      <tableStyleElement type="headerRow" dxfId="0"/>
    </tableStyle>
  </tableStyles>
  <colors>
    <mruColors>
      <color rgb="FF9BC848"/>
      <color rgb="FFD8EEC0"/>
      <color rgb="FFB3D575"/>
      <color rgb="FFDCC640"/>
      <color rgb="FFBAE18F"/>
      <color rgb="FF2AE6B1"/>
      <color rgb="FF22C55E"/>
      <color rgb="FFE8E6E9"/>
      <color rgb="FF5BF6A8"/>
      <color rgb="FF000000"/>
    </mruColors>
  </colors>
  <extLst>
    <ext xmlns:x14="http://schemas.microsoft.com/office/spreadsheetml/2009/9/main" uri="{46F421CA-312F-682f-3DD2-61675219B42D}">
      <x14:dxfs count="1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BAE18F"/>
            </patternFill>
          </fill>
        </dxf>
        <dxf>
          <fill>
            <patternFill>
              <bgColor rgb="FF9BC848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rgb="FFFFC000"/>
            </patternFill>
          </fill>
        </dxf>
        <dxf>
          <fill>
            <patternFill>
              <bgColor rgb="FFD8EEC0"/>
            </patternFill>
          </fill>
        </dxf>
        <dxf>
          <fill>
            <patternFill>
              <bgColor rgb="FFB3D575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22C55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7"/>
          </x14:slicerStyleElements>
        </x14:slicerStyle>
        <x14:slicerStyle name="Estilo de Segmentação de Dados 2">
          <x14:slicerStyleElements>
            <x14:slicerStyleElement type="unselectedItemWithData" dxfId="16"/>
            <x14:slicerStyleElement type="unselectedItemWithNoData" dxfId="15"/>
            <x14:slicerStyleElement type="selectedItemWithData" dxfId="14"/>
            <x14:slicerStyleElement type="selectedItemWithNoData" dxfId="13"/>
            <x14:slicerStyleElement type="hoveredSelectedItemWithData" dxfId="12"/>
          </x14:slicerStyleElements>
        </x14:slicerStyle>
        <x14:slicerStyle name="Estilo de Segmentação de Dados 2 2">
          <x14:slicerStyleElements>
            <x14:slicerStyleElement type="unselectedItemWithData" dxfId="11"/>
            <x14:slicerStyleElement type="unselectedItemWithNoData" dxfId="10"/>
            <x14:slicerStyleElement type="selectedItemWithData" dxfId="9"/>
            <x14:slicerStyleElement type="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[DIO-XBOX.xlsx]C̳álculos!Tabela dinâmica2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006900492258348E-2"/>
          <c:y val="0.10983844235408077"/>
          <c:w val="0.94794714018876614"/>
          <c:h val="0.89016155764591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90-4C2E-91B3-1E599D859012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290-4C2E-91B3-1E599D859012}"/>
              </c:ext>
            </c:extLst>
          </c:dPt>
          <c:dPt>
            <c:idx val="2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90-4C2E-91B3-1E599D85901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90-4C2E-91B3-1E599D85901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90-4C2E-91B3-1E599D859012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9BC84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290-4C2E-91B3-1E599D8590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C̳álculos!$F$17:$F$20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C̳álculos!$G$17:$G$20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0-4C2E-91B3-1E599D859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945512"/>
        <c:axId val="507942992"/>
      </c:barChart>
      <c:valAx>
        <c:axId val="5079429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07945512"/>
        <c:crosses val="autoZero"/>
        <c:crossBetween val="between"/>
      </c:valAx>
      <c:catAx>
        <c:axId val="507945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794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[DIO-XBOX.xlsx]C̳álculos!Tabela dinâmica3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2967430576973107E-2"/>
          <c:y val="4.6320058674284771E-2"/>
          <c:w val="0.94369198235901885"/>
          <c:h val="0.907359882651430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C̳álculos!$G$25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5B-4A24-930C-975A142336CF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5B-4A24-930C-975A142336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C̳álculos!$F$26:$F$28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C̳álculos!$G$26:$G$28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B-4A24-930C-975A1423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0815008"/>
        <c:axId val="620818608"/>
      </c:barChart>
      <c:catAx>
        <c:axId val="62081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818608"/>
        <c:crosses val="autoZero"/>
        <c:auto val="1"/>
        <c:lblAlgn val="ctr"/>
        <c:lblOffset val="100"/>
        <c:noMultiLvlLbl val="0"/>
      </c:catAx>
      <c:valAx>
        <c:axId val="6208186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208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390524</xdr:colOff>
      <xdr:row>0</xdr:row>
      <xdr:rowOff>203133</xdr:rowOff>
    </xdr:from>
    <xdr:to>
      <xdr:col>5</xdr:col>
      <xdr:colOff>14286</xdr:colOff>
      <xdr:row>1</xdr:row>
      <xdr:rowOff>187098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382624-0F97-4AFB-95E2-96C9E0599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5" t="19801" r="74010" b="27786"/>
        <a:stretch>
          <a:fillRect/>
        </a:stretch>
      </xdr:blipFill>
      <xdr:spPr>
        <a:xfrm>
          <a:off x="3259930" y="203133"/>
          <a:ext cx="838200" cy="76977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102954</xdr:rowOff>
    </xdr:from>
    <xdr:to>
      <xdr:col>1</xdr:col>
      <xdr:colOff>914400</xdr:colOff>
      <xdr:row>18</xdr:row>
      <xdr:rowOff>45804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E83158D-482B-4B47-8B5A-A9E0AF8728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979" y="2725504"/>
              <a:ext cx="1857374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414617</xdr:colOff>
      <xdr:row>0</xdr:row>
      <xdr:rowOff>201704</xdr:rowOff>
    </xdr:from>
    <xdr:to>
      <xdr:col>1</xdr:col>
      <xdr:colOff>235323</xdr:colOff>
      <xdr:row>3</xdr:row>
      <xdr:rowOff>114299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D338FEAE-896C-4D4A-8BC4-74FCD280CA9F}"/>
            </a:ext>
          </a:extLst>
        </xdr:cNvPr>
        <xdr:cNvSpPr/>
      </xdr:nvSpPr>
      <xdr:spPr>
        <a:xfrm>
          <a:off x="414617" y="201704"/>
          <a:ext cx="1154206" cy="88414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3</xdr:col>
      <xdr:colOff>365313</xdr:colOff>
      <xdr:row>5</xdr:row>
      <xdr:rowOff>107576</xdr:rowOff>
    </xdr:from>
    <xdr:to>
      <xdr:col>10</xdr:col>
      <xdr:colOff>38101</xdr:colOff>
      <xdr:row>12</xdr:row>
      <xdr:rowOff>178005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DE063AB0-CF7D-C62C-9A07-16702DFFF4C1}"/>
            </a:ext>
          </a:extLst>
        </xdr:cNvPr>
        <xdr:cNvGrpSpPr/>
      </xdr:nvGrpSpPr>
      <xdr:grpSpPr>
        <a:xfrm>
          <a:off x="3241863" y="1402976"/>
          <a:ext cx="4892488" cy="1565854"/>
          <a:chOff x="3286313" y="1682376"/>
          <a:chExt cx="4892488" cy="1569029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A8DEAE49-6AAB-54EC-2D74-B5AF62D371BF}"/>
              </a:ext>
            </a:extLst>
          </xdr:cNvPr>
          <xdr:cNvGrpSpPr/>
        </xdr:nvGrpSpPr>
        <xdr:grpSpPr>
          <a:xfrm>
            <a:off x="3290386" y="1779154"/>
            <a:ext cx="4857037" cy="1472251"/>
            <a:chOff x="3238500" y="1658472"/>
            <a:chExt cx="4852149" cy="1454524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4E9802A5-95D5-6A4F-1DB6-84A593FF83D7}"/>
                </a:ext>
              </a:extLst>
            </xdr:cNvPr>
            <xdr:cNvSpPr/>
          </xdr:nvSpPr>
          <xdr:spPr>
            <a:xfrm>
              <a:off x="3238500" y="1658472"/>
              <a:ext cx="4852147" cy="1400737"/>
            </a:xfrm>
            <a:prstGeom prst="roundRect">
              <a:avLst>
                <a:gd name="adj" fmla="val 1372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18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7A184A62-2A4A-4F16-9887-CBD27E35BBE3}"/>
                </a:ext>
              </a:extLst>
            </xdr:cNvPr>
            <xdr:cNvSpPr/>
          </xdr:nvSpPr>
          <xdr:spPr>
            <a:xfrm>
              <a:off x="4661650" y="2106704"/>
              <a:ext cx="3428999" cy="672355"/>
            </a:xfrm>
            <a:prstGeom prst="roundRect">
              <a:avLst>
                <a:gd name="adj" fmla="val 1372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2343FFB6-B863-466F-9FB9-9ED9BC104F7C}" type="TxLink">
                <a:rPr lang="en-US" sz="4400" b="0" i="0" u="none" strike="noStrike">
                  <a:solidFill>
                    <a:srgbClr val="9BC848"/>
                  </a:solidFill>
                  <a:latin typeface="Aptos Narrow"/>
                </a:rPr>
                <a:pPr algn="l"/>
                <a:t> R$ 2.940,00 </a:t>
              </a:fld>
              <a:endParaRPr lang="en-US" sz="49600">
                <a:solidFill>
                  <a:srgbClr val="9BC848"/>
                </a:solidFill>
                <a:latin typeface="+mn-lt"/>
              </a:endParaRPr>
            </a:p>
          </xdr:txBody>
        </xdr:sp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C19F0B7-F119-40F1-8A16-E3FCF2ACB9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96235" y="1893796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A634007D-151F-5A7F-4E0D-CC313C9C572E}"/>
              </a:ext>
            </a:extLst>
          </xdr:cNvPr>
          <xdr:cNvSpPr/>
        </xdr:nvSpPr>
        <xdr:spPr>
          <a:xfrm>
            <a:off x="3286313" y="1682376"/>
            <a:ext cx="4892488" cy="340659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EA PLAY SEASON PASS</a:t>
            </a:r>
            <a:endParaRPr lang="pt-BR" sz="1600"/>
          </a:p>
        </xdr:txBody>
      </xdr:sp>
    </xdr:grpSp>
    <xdr:clientData/>
  </xdr:twoCellAnchor>
  <xdr:twoCellAnchor>
    <xdr:from>
      <xdr:col>3</xdr:col>
      <xdr:colOff>393699</xdr:colOff>
      <xdr:row>14</xdr:row>
      <xdr:rowOff>70225</xdr:rowOff>
    </xdr:from>
    <xdr:to>
      <xdr:col>10</xdr:col>
      <xdr:colOff>79934</xdr:colOff>
      <xdr:row>21</xdr:row>
      <xdr:rowOff>137461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229269EC-63BD-DE61-1468-E1C5B39FC7A5}"/>
            </a:ext>
          </a:extLst>
        </xdr:cNvPr>
        <xdr:cNvGrpSpPr/>
      </xdr:nvGrpSpPr>
      <xdr:grpSpPr>
        <a:xfrm>
          <a:off x="3270249" y="3242050"/>
          <a:ext cx="4905935" cy="1400736"/>
          <a:chOff x="3263899" y="3524625"/>
          <a:chExt cx="4905935" cy="1400736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097A1A4-C598-8F8E-3B56-891C876197A1}"/>
              </a:ext>
            </a:extLst>
          </xdr:cNvPr>
          <xdr:cNvGrpSpPr/>
        </xdr:nvGrpSpPr>
        <xdr:grpSpPr>
          <a:xfrm>
            <a:off x="3263899" y="3524625"/>
            <a:ext cx="4883524" cy="1400736"/>
            <a:chOff x="3272117" y="3541060"/>
            <a:chExt cx="4852147" cy="1400736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30269DEA-5392-4627-B3F0-B8C1B1D22DBD}"/>
                </a:ext>
              </a:extLst>
            </xdr:cNvPr>
            <xdr:cNvSpPr/>
          </xdr:nvSpPr>
          <xdr:spPr>
            <a:xfrm>
              <a:off x="3272117" y="3541060"/>
              <a:ext cx="4852147" cy="1400736"/>
            </a:xfrm>
            <a:prstGeom prst="roundRect">
              <a:avLst>
                <a:gd name="adj" fmla="val 1372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27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D608174D-2DDA-46E0-87F3-93D82D719780}"/>
                </a:ext>
              </a:extLst>
            </xdr:cNvPr>
            <xdr:cNvSpPr/>
          </xdr:nvSpPr>
          <xdr:spPr>
            <a:xfrm>
              <a:off x="4578723" y="3861548"/>
              <a:ext cx="3433483" cy="912158"/>
            </a:xfrm>
            <a:prstGeom prst="roundRect">
              <a:avLst>
                <a:gd name="adj" fmla="val 1372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39D1C83C-ABAC-4A1C-85C0-4B640BB913EC}" type="TxLink">
                <a:rPr lang="en-US" sz="4800" b="0" i="0" u="none" strike="noStrike">
                  <a:solidFill>
                    <a:srgbClr val="9BC848"/>
                  </a:solidFill>
                  <a:latin typeface="Aptos Narrow"/>
                </a:rPr>
                <a:pPr algn="l"/>
                <a:t> R$ 3.880,00 </a:t>
              </a:fld>
              <a:endParaRPr lang="pt-BR" sz="4800">
                <a:solidFill>
                  <a:srgbClr val="9BC848"/>
                </a:solidFill>
              </a:endParaRPr>
            </a:p>
          </xdr:txBody>
        </xdr: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12A9F2B8-B75A-4E3D-9CD4-8E7731F7EA5F}"/>
                </a:ext>
              </a:extLst>
            </xdr:cNvPr>
            <xdr:cNvGrpSpPr/>
          </xdr:nvGrpSpPr>
          <xdr:grpSpPr>
            <a:xfrm>
              <a:off x="3395382" y="3877235"/>
              <a:ext cx="1347769" cy="761999"/>
              <a:chOff x="3495675" y="5400674"/>
              <a:chExt cx="1549476" cy="752476"/>
            </a:xfrm>
          </xdr:grpSpPr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A16D8954-071B-6112-4B91-23DF66E107A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3" name="Gráfico 22">
                <a:extLst>
                  <a:ext uri="{FF2B5EF4-FFF2-40B4-BE49-F238E27FC236}">
                    <a16:creationId xmlns:a16="http://schemas.microsoft.com/office/drawing/2014/main" id="{B4E00669-3A7B-8475-5DBE-037F62C8AF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CEBF3778-09E1-4A0A-9700-D9475D14139E}"/>
              </a:ext>
            </a:extLst>
          </xdr:cNvPr>
          <xdr:cNvSpPr/>
        </xdr:nvSpPr>
        <xdr:spPr>
          <a:xfrm>
            <a:off x="3263899" y="3524625"/>
            <a:ext cx="4905935" cy="33617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MINECRAFT SEASON PASS</a:t>
            </a:r>
            <a:endParaRPr lang="pt-BR" sz="1600"/>
          </a:p>
        </xdr:txBody>
      </xdr:sp>
    </xdr:grpSp>
    <xdr:clientData/>
  </xdr:twoCellAnchor>
  <xdr:twoCellAnchor>
    <xdr:from>
      <xdr:col>3</xdr:col>
      <xdr:colOff>280147</xdr:colOff>
      <xdr:row>22</xdr:row>
      <xdr:rowOff>156882</xdr:rowOff>
    </xdr:from>
    <xdr:to>
      <xdr:col>24</xdr:col>
      <xdr:colOff>336177</xdr:colOff>
      <xdr:row>38</xdr:row>
      <xdr:rowOff>11205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70CFFD63-2C8A-FF4C-A50C-BC43269A14F1}"/>
            </a:ext>
          </a:extLst>
        </xdr:cNvPr>
        <xdr:cNvGrpSpPr/>
      </xdr:nvGrpSpPr>
      <xdr:grpSpPr>
        <a:xfrm>
          <a:off x="3156697" y="4852707"/>
          <a:ext cx="14591180" cy="2902323"/>
          <a:chOff x="3163047" y="4970182"/>
          <a:chExt cx="14597530" cy="2902323"/>
        </a:xfrm>
      </xdr:grpSpPr>
      <xdr:graphicFrame macro="">
        <xdr:nvGraphicFramePr>
          <xdr:cNvPr id="30" name="Gráfico 29">
            <a:extLst>
              <a:ext uri="{FF2B5EF4-FFF2-40B4-BE49-F238E27FC236}">
                <a16:creationId xmlns:a16="http://schemas.microsoft.com/office/drawing/2014/main" id="{19CA57BA-2AFE-483C-80BD-31101ADDD60D}"/>
              </a:ext>
            </a:extLst>
          </xdr:cNvPr>
          <xdr:cNvGraphicFramePr>
            <a:graphicFrameLocks/>
          </xdr:cNvGraphicFramePr>
        </xdr:nvGraphicFramePr>
        <xdr:xfrm>
          <a:off x="3163047" y="5261535"/>
          <a:ext cx="14597530" cy="26109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EE066804-0D00-4C74-BE18-DBEEC956C379}"/>
              </a:ext>
            </a:extLst>
          </xdr:cNvPr>
          <xdr:cNvSpPr/>
        </xdr:nvSpPr>
        <xdr:spPr>
          <a:xfrm>
            <a:off x="3185460" y="4970182"/>
            <a:ext cx="14552706" cy="33617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TYPE</a:t>
            </a:r>
            <a:endParaRPr lang="pt-BR" sz="1600"/>
          </a:p>
        </xdr:txBody>
      </xdr:sp>
    </xdr:grpSp>
    <xdr:clientData/>
  </xdr:twoCellAnchor>
  <xdr:twoCellAnchor>
    <xdr:from>
      <xdr:col>11</xdr:col>
      <xdr:colOff>279027</xdr:colOff>
      <xdr:row>5</xdr:row>
      <xdr:rowOff>112059</xdr:rowOff>
    </xdr:from>
    <xdr:to>
      <xdr:col>24</xdr:col>
      <xdr:colOff>298451</xdr:colOff>
      <xdr:row>22</xdr:row>
      <xdr:rowOff>12886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DF9E618-F2B3-77EF-16ED-61611BF370D2}"/>
            </a:ext>
          </a:extLst>
        </xdr:cNvPr>
        <xdr:cNvGrpSpPr/>
      </xdr:nvGrpSpPr>
      <xdr:grpSpPr>
        <a:xfrm>
          <a:off x="8984877" y="1407459"/>
          <a:ext cx="8725274" cy="3301252"/>
          <a:chOff x="8991185" y="1521759"/>
          <a:chExt cx="8731624" cy="3304418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BA2A40FC-CA22-412D-BA89-073FF5A6F483}"/>
              </a:ext>
            </a:extLst>
          </xdr:cNvPr>
          <xdr:cNvGraphicFramePr>
            <a:graphicFrameLocks/>
          </xdr:cNvGraphicFramePr>
        </xdr:nvGraphicFramePr>
        <xdr:xfrm>
          <a:off x="9002391" y="1807313"/>
          <a:ext cx="8712201" cy="30188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102B3C63-F17F-41B7-91CF-DABF616A6A10}"/>
              </a:ext>
            </a:extLst>
          </xdr:cNvPr>
          <xdr:cNvSpPr/>
        </xdr:nvSpPr>
        <xdr:spPr>
          <a:xfrm>
            <a:off x="8991185" y="1521759"/>
            <a:ext cx="8731624" cy="339912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/>
              <a:t>TOTAL</a:t>
            </a:r>
            <a:r>
              <a:rPr lang="pt-BR" sz="1600" baseline="0"/>
              <a:t> SUBSCRIPTIONS XBOX GAME PASS</a:t>
            </a:r>
            <a:endParaRPr lang="pt-BR" sz="16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a Inacio de Moraes" refreshedDate="46062.685059722222" createdVersion="8" refreshedVersion="8" minRefreshableVersion="3" recordCount="295" xr:uid="{900FCC41-F117-469A-9E08-66D97E0A4C6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797090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x v="0"/>
    <x v="0"/>
    <x v="0"/>
    <n v="20"/>
    <n v="5"/>
    <n v="60"/>
  </r>
  <r>
    <n v="3232"/>
    <s v="Maria Oliveira"/>
    <x v="1"/>
    <x v="1"/>
    <x v="1"/>
    <x v="1"/>
    <x v="1"/>
    <x v="1"/>
    <x v="1"/>
    <x v="1"/>
    <n v="0"/>
    <n v="0"/>
    <n v="5"/>
  </r>
  <r>
    <n v="3233"/>
    <s v="Lucas Fernandes"/>
    <x v="2"/>
    <x v="2"/>
    <x v="0"/>
    <x v="2"/>
    <x v="2"/>
    <x v="1"/>
    <x v="1"/>
    <x v="0"/>
    <n v="20"/>
    <n v="10"/>
    <n v="20"/>
  </r>
  <r>
    <n v="3234"/>
    <s v="Ana Souza"/>
    <x v="0"/>
    <x v="3"/>
    <x v="1"/>
    <x v="0"/>
    <x v="0"/>
    <x v="0"/>
    <x v="0"/>
    <x v="0"/>
    <n v="20"/>
    <n v="3"/>
    <n v="62"/>
  </r>
  <r>
    <n v="3235"/>
    <s v="Pedro Gonçalves"/>
    <x v="1"/>
    <x v="4"/>
    <x v="0"/>
    <x v="1"/>
    <x v="0"/>
    <x v="1"/>
    <x v="1"/>
    <x v="1"/>
    <n v="0"/>
    <n v="1"/>
    <n v="4"/>
  </r>
  <r>
    <n v="3236"/>
    <s v="Felipe Costa"/>
    <x v="2"/>
    <x v="5"/>
    <x v="1"/>
    <x v="2"/>
    <x v="0"/>
    <x v="1"/>
    <x v="1"/>
    <x v="0"/>
    <n v="20"/>
    <n v="2"/>
    <n v="28"/>
  </r>
  <r>
    <n v="3237"/>
    <s v="Camila Ribeiro"/>
    <x v="0"/>
    <x v="6"/>
    <x v="0"/>
    <x v="0"/>
    <x v="2"/>
    <x v="0"/>
    <x v="0"/>
    <x v="0"/>
    <n v="20"/>
    <n v="10"/>
    <n v="55"/>
  </r>
  <r>
    <n v="3238"/>
    <s v="André Mendes"/>
    <x v="1"/>
    <x v="7"/>
    <x v="0"/>
    <x v="1"/>
    <x v="1"/>
    <x v="1"/>
    <x v="1"/>
    <x v="1"/>
    <n v="0"/>
    <n v="0"/>
    <n v="5"/>
  </r>
  <r>
    <n v="3239"/>
    <s v="Sofia Almeida"/>
    <x v="0"/>
    <x v="4"/>
    <x v="1"/>
    <x v="0"/>
    <x v="0"/>
    <x v="0"/>
    <x v="0"/>
    <x v="0"/>
    <n v="20"/>
    <n v="5"/>
    <n v="60"/>
  </r>
  <r>
    <n v="3240"/>
    <s v="Bruno Martins"/>
    <x v="2"/>
    <x v="8"/>
    <x v="0"/>
    <x v="2"/>
    <x v="2"/>
    <x v="1"/>
    <x v="1"/>
    <x v="0"/>
    <n v="20"/>
    <n v="15"/>
    <n v="15"/>
  </r>
  <r>
    <n v="3241"/>
    <s v="Rita Castro"/>
    <x v="1"/>
    <x v="9"/>
    <x v="1"/>
    <x v="1"/>
    <x v="0"/>
    <x v="1"/>
    <x v="1"/>
    <x v="1"/>
    <n v="0"/>
    <n v="1"/>
    <n v="4"/>
  </r>
  <r>
    <n v="3242"/>
    <s v="Marco Túlio"/>
    <x v="0"/>
    <x v="10"/>
    <x v="0"/>
    <x v="0"/>
    <x v="1"/>
    <x v="0"/>
    <x v="0"/>
    <x v="0"/>
    <n v="20"/>
    <n v="20"/>
    <n v="45"/>
  </r>
  <r>
    <n v="3243"/>
    <s v="Lívia Silveira"/>
    <x v="2"/>
    <x v="11"/>
    <x v="1"/>
    <x v="2"/>
    <x v="0"/>
    <x v="1"/>
    <x v="1"/>
    <x v="0"/>
    <n v="20"/>
    <n v="10"/>
    <n v="20"/>
  </r>
  <r>
    <n v="3244"/>
    <s v="Diogo Sousa"/>
    <x v="1"/>
    <x v="12"/>
    <x v="0"/>
    <x v="1"/>
    <x v="2"/>
    <x v="1"/>
    <x v="1"/>
    <x v="1"/>
    <n v="0"/>
    <n v="0"/>
    <n v="5"/>
  </r>
  <r>
    <n v="3245"/>
    <s v="Fernanda Lima"/>
    <x v="0"/>
    <x v="13"/>
    <x v="1"/>
    <x v="0"/>
    <x v="0"/>
    <x v="0"/>
    <x v="0"/>
    <x v="0"/>
    <n v="20"/>
    <n v="8"/>
    <n v="57"/>
  </r>
  <r>
    <n v="3246"/>
    <s v="Caio Pereira"/>
    <x v="2"/>
    <x v="14"/>
    <x v="0"/>
    <x v="2"/>
    <x v="1"/>
    <x v="1"/>
    <x v="1"/>
    <x v="0"/>
    <n v="20"/>
    <n v="12"/>
    <n v="18"/>
  </r>
  <r>
    <n v="3247"/>
    <s v="Beatriz Gomes"/>
    <x v="1"/>
    <x v="15"/>
    <x v="1"/>
    <x v="1"/>
    <x v="0"/>
    <x v="1"/>
    <x v="1"/>
    <x v="1"/>
    <n v="0"/>
    <n v="2"/>
    <n v="3"/>
  </r>
  <r>
    <n v="3248"/>
    <s v="Cesar Oliveira"/>
    <x v="0"/>
    <x v="16"/>
    <x v="0"/>
    <x v="0"/>
    <x v="2"/>
    <x v="0"/>
    <x v="0"/>
    <x v="0"/>
    <n v="20"/>
    <n v="7"/>
    <n v="58"/>
  </r>
  <r>
    <n v="3249"/>
    <s v="Débora Machado"/>
    <x v="2"/>
    <x v="17"/>
    <x v="1"/>
    <x v="2"/>
    <x v="0"/>
    <x v="1"/>
    <x v="1"/>
    <x v="0"/>
    <n v="20"/>
    <n v="5"/>
    <n v="25"/>
  </r>
  <r>
    <n v="3250"/>
    <s v="Eduardo Vargas"/>
    <x v="1"/>
    <x v="18"/>
    <x v="0"/>
    <x v="1"/>
    <x v="1"/>
    <x v="1"/>
    <x v="1"/>
    <x v="1"/>
    <n v="0"/>
    <n v="0"/>
    <n v="5"/>
  </r>
  <r>
    <n v="3251"/>
    <s v="Gabriela Santos"/>
    <x v="0"/>
    <x v="19"/>
    <x v="1"/>
    <x v="0"/>
    <x v="0"/>
    <x v="0"/>
    <x v="0"/>
    <x v="0"/>
    <n v="20"/>
    <n v="3"/>
    <n v="62"/>
  </r>
  <r>
    <n v="3252"/>
    <s v="Henrique Dias"/>
    <x v="2"/>
    <x v="20"/>
    <x v="0"/>
    <x v="2"/>
    <x v="2"/>
    <x v="1"/>
    <x v="1"/>
    <x v="0"/>
    <n v="20"/>
    <n v="15"/>
    <n v="15"/>
  </r>
  <r>
    <n v="3253"/>
    <s v="Isabela Moreira"/>
    <x v="1"/>
    <x v="21"/>
    <x v="1"/>
    <x v="1"/>
    <x v="0"/>
    <x v="1"/>
    <x v="1"/>
    <x v="1"/>
    <n v="0"/>
    <n v="1"/>
    <n v="4"/>
  </r>
  <r>
    <n v="3254"/>
    <s v="Joaquim Barbosa"/>
    <x v="0"/>
    <x v="22"/>
    <x v="0"/>
    <x v="0"/>
    <x v="1"/>
    <x v="0"/>
    <x v="0"/>
    <x v="0"/>
    <n v="20"/>
    <n v="20"/>
    <n v="45"/>
  </r>
  <r>
    <n v="3255"/>
    <s v="Lara Rocha"/>
    <x v="2"/>
    <x v="23"/>
    <x v="1"/>
    <x v="2"/>
    <x v="0"/>
    <x v="1"/>
    <x v="1"/>
    <x v="0"/>
    <n v="20"/>
    <n v="10"/>
    <n v="20"/>
  </r>
  <r>
    <n v="3256"/>
    <s v="Matheus Silva"/>
    <x v="1"/>
    <x v="24"/>
    <x v="0"/>
    <x v="1"/>
    <x v="2"/>
    <x v="1"/>
    <x v="1"/>
    <x v="1"/>
    <n v="0"/>
    <n v="0"/>
    <n v="5"/>
  </r>
  <r>
    <n v="3257"/>
    <s v="Nicole Costa"/>
    <x v="0"/>
    <x v="25"/>
    <x v="1"/>
    <x v="0"/>
    <x v="0"/>
    <x v="0"/>
    <x v="0"/>
    <x v="0"/>
    <n v="20"/>
    <n v="5"/>
    <n v="60"/>
  </r>
  <r>
    <n v="3258"/>
    <s v="Otávio Mendonça"/>
    <x v="2"/>
    <x v="26"/>
    <x v="0"/>
    <x v="2"/>
    <x v="1"/>
    <x v="1"/>
    <x v="1"/>
    <x v="0"/>
    <n v="20"/>
    <n v="15"/>
    <n v="15"/>
  </r>
  <r>
    <n v="3259"/>
    <s v="Paula Ferreira"/>
    <x v="1"/>
    <x v="27"/>
    <x v="1"/>
    <x v="1"/>
    <x v="0"/>
    <x v="1"/>
    <x v="1"/>
    <x v="1"/>
    <n v="0"/>
    <n v="1"/>
    <n v="4"/>
  </r>
  <r>
    <n v="3260"/>
    <s v="Raquel Alves"/>
    <x v="0"/>
    <x v="28"/>
    <x v="0"/>
    <x v="0"/>
    <x v="2"/>
    <x v="0"/>
    <x v="0"/>
    <x v="0"/>
    <n v="20"/>
    <n v="7"/>
    <n v="58"/>
  </r>
  <r>
    <n v="3261"/>
    <s v="Samuel Pires"/>
    <x v="2"/>
    <x v="29"/>
    <x v="1"/>
    <x v="2"/>
    <x v="0"/>
    <x v="1"/>
    <x v="1"/>
    <x v="0"/>
    <n v="20"/>
    <n v="10"/>
    <n v="20"/>
  </r>
  <r>
    <n v="3262"/>
    <s v="Tânia Barros"/>
    <x v="1"/>
    <x v="30"/>
    <x v="0"/>
    <x v="1"/>
    <x v="1"/>
    <x v="1"/>
    <x v="1"/>
    <x v="1"/>
    <n v="0"/>
    <n v="0"/>
    <n v="5"/>
  </r>
  <r>
    <n v="3263"/>
    <s v="Vinicius Lima"/>
    <x v="0"/>
    <x v="31"/>
    <x v="1"/>
    <x v="0"/>
    <x v="0"/>
    <x v="0"/>
    <x v="0"/>
    <x v="0"/>
    <n v="20"/>
    <n v="3"/>
    <n v="62"/>
  </r>
  <r>
    <n v="3264"/>
    <s v="Yasmin Teixeira"/>
    <x v="2"/>
    <x v="32"/>
    <x v="0"/>
    <x v="2"/>
    <x v="2"/>
    <x v="1"/>
    <x v="1"/>
    <x v="0"/>
    <n v="20"/>
    <n v="15"/>
    <n v="15"/>
  </r>
  <r>
    <n v="3265"/>
    <s v="Zé Carlos"/>
    <x v="1"/>
    <x v="33"/>
    <x v="1"/>
    <x v="1"/>
    <x v="0"/>
    <x v="1"/>
    <x v="1"/>
    <x v="1"/>
    <n v="0"/>
    <n v="1"/>
    <n v="4"/>
  </r>
  <r>
    <n v="3266"/>
    <s v="Amanda Nogueira"/>
    <x v="1"/>
    <x v="34"/>
    <x v="0"/>
    <x v="1"/>
    <x v="0"/>
    <x v="1"/>
    <x v="1"/>
    <x v="1"/>
    <n v="0"/>
    <n v="0"/>
    <n v="5"/>
  </r>
  <r>
    <n v="3267"/>
    <s v="Bruno Cavalheiro"/>
    <x v="0"/>
    <x v="35"/>
    <x v="1"/>
    <x v="0"/>
    <x v="2"/>
    <x v="0"/>
    <x v="0"/>
    <x v="0"/>
    <n v="20"/>
    <n v="7"/>
    <n v="58"/>
  </r>
  <r>
    <n v="3268"/>
    <s v="Carla Dias"/>
    <x v="2"/>
    <x v="36"/>
    <x v="0"/>
    <x v="2"/>
    <x v="1"/>
    <x v="1"/>
    <x v="1"/>
    <x v="0"/>
    <n v="20"/>
    <n v="10"/>
    <n v="20"/>
  </r>
  <r>
    <n v="3269"/>
    <s v="Diego Fontes"/>
    <x v="1"/>
    <x v="37"/>
    <x v="1"/>
    <x v="1"/>
    <x v="2"/>
    <x v="1"/>
    <x v="1"/>
    <x v="1"/>
    <n v="0"/>
    <n v="1"/>
    <n v="4"/>
  </r>
  <r>
    <n v="3270"/>
    <s v="Eunice Lima"/>
    <x v="0"/>
    <x v="38"/>
    <x v="0"/>
    <x v="0"/>
    <x v="0"/>
    <x v="0"/>
    <x v="0"/>
    <x v="0"/>
    <n v="20"/>
    <n v="15"/>
    <n v="50"/>
  </r>
  <r>
    <n v="3271"/>
    <s v="Fábio Martins"/>
    <x v="2"/>
    <x v="39"/>
    <x v="1"/>
    <x v="2"/>
    <x v="0"/>
    <x v="1"/>
    <x v="1"/>
    <x v="0"/>
    <n v="20"/>
    <n v="5"/>
    <n v="25"/>
  </r>
  <r>
    <n v="3272"/>
    <s v="Gisele Araújo"/>
    <x v="1"/>
    <x v="40"/>
    <x v="0"/>
    <x v="1"/>
    <x v="1"/>
    <x v="1"/>
    <x v="1"/>
    <x v="1"/>
    <n v="0"/>
    <n v="0"/>
    <n v="5"/>
  </r>
  <r>
    <n v="3273"/>
    <s v="Hélio Castro"/>
    <x v="0"/>
    <x v="41"/>
    <x v="1"/>
    <x v="0"/>
    <x v="2"/>
    <x v="0"/>
    <x v="0"/>
    <x v="0"/>
    <n v="20"/>
    <n v="20"/>
    <n v="45"/>
  </r>
  <r>
    <n v="3274"/>
    <s v="Ingrid Menezes"/>
    <x v="2"/>
    <x v="42"/>
    <x v="0"/>
    <x v="2"/>
    <x v="2"/>
    <x v="1"/>
    <x v="1"/>
    <x v="0"/>
    <n v="20"/>
    <n v="12"/>
    <n v="18"/>
  </r>
  <r>
    <n v="3275"/>
    <s v="Jorge Baptista"/>
    <x v="1"/>
    <x v="43"/>
    <x v="1"/>
    <x v="1"/>
    <x v="0"/>
    <x v="1"/>
    <x v="1"/>
    <x v="1"/>
    <n v="0"/>
    <n v="2"/>
    <n v="3"/>
  </r>
  <r>
    <n v="3276"/>
    <s v="Kléber Oliveira"/>
    <x v="0"/>
    <x v="44"/>
    <x v="0"/>
    <x v="0"/>
    <x v="1"/>
    <x v="0"/>
    <x v="0"/>
    <x v="0"/>
    <n v="20"/>
    <n v="5"/>
    <n v="60"/>
  </r>
  <r>
    <n v="3277"/>
    <s v="Luciana Freitas"/>
    <x v="2"/>
    <x v="45"/>
    <x v="1"/>
    <x v="2"/>
    <x v="0"/>
    <x v="1"/>
    <x v="1"/>
    <x v="0"/>
    <n v="20"/>
    <n v="10"/>
    <n v="20"/>
  </r>
  <r>
    <n v="3278"/>
    <s v="Márcia Eller"/>
    <x v="1"/>
    <x v="46"/>
    <x v="0"/>
    <x v="1"/>
    <x v="2"/>
    <x v="1"/>
    <x v="1"/>
    <x v="1"/>
    <n v="0"/>
    <n v="0"/>
    <n v="5"/>
  </r>
  <r>
    <n v="3279"/>
    <s v="Nilo Peçanha"/>
    <x v="0"/>
    <x v="47"/>
    <x v="1"/>
    <x v="0"/>
    <x v="0"/>
    <x v="0"/>
    <x v="0"/>
    <x v="0"/>
    <n v="20"/>
    <n v="3"/>
    <n v="62"/>
  </r>
  <r>
    <n v="3280"/>
    <s v="Oscar Neves"/>
    <x v="2"/>
    <x v="48"/>
    <x v="0"/>
    <x v="2"/>
    <x v="1"/>
    <x v="1"/>
    <x v="1"/>
    <x v="0"/>
    <n v="20"/>
    <n v="15"/>
    <n v="15"/>
  </r>
  <r>
    <n v="3281"/>
    <s v="Patrícia Soares"/>
    <x v="1"/>
    <x v="49"/>
    <x v="1"/>
    <x v="1"/>
    <x v="0"/>
    <x v="1"/>
    <x v="1"/>
    <x v="1"/>
    <n v="0"/>
    <n v="1"/>
    <n v="4"/>
  </r>
  <r>
    <n v="3282"/>
    <s v="Quirino Gonçalves"/>
    <x v="0"/>
    <x v="50"/>
    <x v="0"/>
    <x v="0"/>
    <x v="2"/>
    <x v="0"/>
    <x v="0"/>
    <x v="0"/>
    <n v="20"/>
    <n v="7"/>
    <n v="58"/>
  </r>
  <r>
    <n v="3283"/>
    <s v="Raul Machado"/>
    <x v="2"/>
    <x v="51"/>
    <x v="1"/>
    <x v="2"/>
    <x v="0"/>
    <x v="1"/>
    <x v="1"/>
    <x v="0"/>
    <n v="20"/>
    <n v="10"/>
    <n v="20"/>
  </r>
  <r>
    <n v="3284"/>
    <s v="Sônia Lobo"/>
    <x v="1"/>
    <x v="52"/>
    <x v="0"/>
    <x v="1"/>
    <x v="1"/>
    <x v="1"/>
    <x v="1"/>
    <x v="1"/>
    <n v="0"/>
    <n v="0"/>
    <n v="5"/>
  </r>
  <r>
    <n v="3285"/>
    <s v="Tiago Ramos"/>
    <x v="0"/>
    <x v="53"/>
    <x v="1"/>
    <x v="0"/>
    <x v="0"/>
    <x v="0"/>
    <x v="0"/>
    <x v="0"/>
    <n v="20"/>
    <n v="20"/>
    <n v="45"/>
  </r>
  <r>
    <n v="3286"/>
    <s v="Ugo Pires"/>
    <x v="2"/>
    <x v="54"/>
    <x v="0"/>
    <x v="2"/>
    <x v="2"/>
    <x v="1"/>
    <x v="1"/>
    <x v="0"/>
    <n v="20"/>
    <n v="15"/>
    <n v="15"/>
  </r>
  <r>
    <n v="3287"/>
    <s v="Valéria Nobre"/>
    <x v="1"/>
    <x v="55"/>
    <x v="1"/>
    <x v="1"/>
    <x v="0"/>
    <x v="1"/>
    <x v="1"/>
    <x v="1"/>
    <n v="0"/>
    <n v="1"/>
    <n v="4"/>
  </r>
  <r>
    <n v="3288"/>
    <s v="William Siqueira"/>
    <x v="0"/>
    <x v="56"/>
    <x v="0"/>
    <x v="0"/>
    <x v="1"/>
    <x v="0"/>
    <x v="0"/>
    <x v="0"/>
    <n v="20"/>
    <n v="3"/>
    <n v="62"/>
  </r>
  <r>
    <n v="3289"/>
    <s v="Xuxa Meneghel"/>
    <x v="2"/>
    <x v="57"/>
    <x v="1"/>
    <x v="2"/>
    <x v="0"/>
    <x v="1"/>
    <x v="1"/>
    <x v="0"/>
    <n v="20"/>
    <n v="10"/>
    <n v="20"/>
  </r>
  <r>
    <n v="3290"/>
    <s v="Yara Figueiredo"/>
    <x v="1"/>
    <x v="58"/>
    <x v="0"/>
    <x v="1"/>
    <x v="2"/>
    <x v="1"/>
    <x v="1"/>
    <x v="1"/>
    <n v="0"/>
    <n v="0"/>
    <n v="5"/>
  </r>
  <r>
    <n v="3291"/>
    <s v="Zacarias Alves"/>
    <x v="0"/>
    <x v="59"/>
    <x v="1"/>
    <x v="0"/>
    <x v="0"/>
    <x v="0"/>
    <x v="0"/>
    <x v="0"/>
    <n v="20"/>
    <n v="5"/>
    <n v="60"/>
  </r>
  <r>
    <n v="3292"/>
    <s v="Amanda Bynes"/>
    <x v="2"/>
    <x v="60"/>
    <x v="0"/>
    <x v="2"/>
    <x v="1"/>
    <x v="1"/>
    <x v="1"/>
    <x v="0"/>
    <n v="20"/>
    <n v="15"/>
    <n v="15"/>
  </r>
  <r>
    <n v="3293"/>
    <s v="Bruno Mars"/>
    <x v="1"/>
    <x v="61"/>
    <x v="1"/>
    <x v="1"/>
    <x v="0"/>
    <x v="1"/>
    <x v="1"/>
    <x v="1"/>
    <n v="0"/>
    <n v="1"/>
    <n v="4"/>
  </r>
  <r>
    <n v="3294"/>
    <s v="Carla Bruni"/>
    <x v="0"/>
    <x v="62"/>
    <x v="0"/>
    <x v="0"/>
    <x v="2"/>
    <x v="0"/>
    <x v="0"/>
    <x v="0"/>
    <n v="20"/>
    <n v="20"/>
    <n v="45"/>
  </r>
  <r>
    <n v="3295"/>
    <s v="Diego Maradona"/>
    <x v="2"/>
    <x v="63"/>
    <x v="1"/>
    <x v="2"/>
    <x v="0"/>
    <x v="1"/>
    <x v="1"/>
    <x v="0"/>
    <n v="20"/>
    <n v="5"/>
    <n v="25"/>
  </r>
  <r>
    <n v="3296"/>
    <s v="Estela Marques"/>
    <x v="1"/>
    <x v="64"/>
    <x v="1"/>
    <x v="1"/>
    <x v="0"/>
    <x v="1"/>
    <x v="1"/>
    <x v="1"/>
    <n v="0"/>
    <n v="0"/>
    <n v="5"/>
  </r>
  <r>
    <n v="3297"/>
    <s v="Fábio Nobre"/>
    <x v="0"/>
    <x v="65"/>
    <x v="0"/>
    <x v="0"/>
    <x v="2"/>
    <x v="0"/>
    <x v="0"/>
    <x v="0"/>
    <n v="20"/>
    <n v="7"/>
    <n v="58"/>
  </r>
  <r>
    <n v="3298"/>
    <s v="Gabriel Oliveira"/>
    <x v="2"/>
    <x v="66"/>
    <x v="1"/>
    <x v="2"/>
    <x v="1"/>
    <x v="1"/>
    <x v="1"/>
    <x v="0"/>
    <n v="20"/>
    <n v="10"/>
    <n v="20"/>
  </r>
  <r>
    <n v="3299"/>
    <s v="Helena Santos"/>
    <x v="1"/>
    <x v="67"/>
    <x v="0"/>
    <x v="1"/>
    <x v="2"/>
    <x v="1"/>
    <x v="1"/>
    <x v="1"/>
    <n v="0"/>
    <n v="1"/>
    <n v="4"/>
  </r>
  <r>
    <n v="3300"/>
    <s v="Ivan Carvalho"/>
    <x v="0"/>
    <x v="68"/>
    <x v="1"/>
    <x v="0"/>
    <x v="0"/>
    <x v="0"/>
    <x v="0"/>
    <x v="0"/>
    <n v="20"/>
    <n v="15"/>
    <n v="50"/>
  </r>
  <r>
    <n v="3301"/>
    <s v="Júlia Ferreira"/>
    <x v="2"/>
    <x v="69"/>
    <x v="0"/>
    <x v="2"/>
    <x v="0"/>
    <x v="1"/>
    <x v="1"/>
    <x v="0"/>
    <n v="20"/>
    <n v="5"/>
    <n v="25"/>
  </r>
  <r>
    <n v="3302"/>
    <s v="Karla Alves"/>
    <x v="1"/>
    <x v="70"/>
    <x v="1"/>
    <x v="1"/>
    <x v="1"/>
    <x v="1"/>
    <x v="1"/>
    <x v="1"/>
    <n v="0"/>
    <n v="0"/>
    <n v="5"/>
  </r>
  <r>
    <n v="3303"/>
    <s v="Lucas Mendes"/>
    <x v="0"/>
    <x v="71"/>
    <x v="0"/>
    <x v="0"/>
    <x v="2"/>
    <x v="0"/>
    <x v="0"/>
    <x v="0"/>
    <n v="20"/>
    <n v="20"/>
    <n v="45"/>
  </r>
  <r>
    <n v="3304"/>
    <s v="Mônica Gomes"/>
    <x v="2"/>
    <x v="72"/>
    <x v="1"/>
    <x v="2"/>
    <x v="2"/>
    <x v="1"/>
    <x v="1"/>
    <x v="0"/>
    <n v="20"/>
    <n v="12"/>
    <n v="18"/>
  </r>
  <r>
    <n v="3305"/>
    <s v="Norberto Queiroz"/>
    <x v="1"/>
    <x v="73"/>
    <x v="0"/>
    <x v="1"/>
    <x v="0"/>
    <x v="1"/>
    <x v="1"/>
    <x v="1"/>
    <n v="0"/>
    <n v="2"/>
    <n v="3"/>
  </r>
  <r>
    <n v="3306"/>
    <s v="Otávio Barros"/>
    <x v="0"/>
    <x v="74"/>
    <x v="1"/>
    <x v="0"/>
    <x v="1"/>
    <x v="0"/>
    <x v="0"/>
    <x v="0"/>
    <n v="20"/>
    <n v="5"/>
    <n v="60"/>
  </r>
  <r>
    <n v="3307"/>
    <s v="Paula Vieira"/>
    <x v="2"/>
    <x v="75"/>
    <x v="0"/>
    <x v="2"/>
    <x v="0"/>
    <x v="1"/>
    <x v="1"/>
    <x v="0"/>
    <n v="20"/>
    <n v="10"/>
    <n v="20"/>
  </r>
  <r>
    <n v="3308"/>
    <s v="Quentin Ramos"/>
    <x v="1"/>
    <x v="76"/>
    <x v="1"/>
    <x v="1"/>
    <x v="2"/>
    <x v="1"/>
    <x v="1"/>
    <x v="1"/>
    <n v="0"/>
    <n v="0"/>
    <n v="5"/>
  </r>
  <r>
    <n v="3309"/>
    <s v="Raquel Novaes"/>
    <x v="0"/>
    <x v="77"/>
    <x v="0"/>
    <x v="0"/>
    <x v="0"/>
    <x v="0"/>
    <x v="0"/>
    <x v="0"/>
    <n v="20"/>
    <n v="3"/>
    <n v="62"/>
  </r>
  <r>
    <n v="3310"/>
    <s v="Samantha Lopes"/>
    <x v="2"/>
    <x v="78"/>
    <x v="1"/>
    <x v="2"/>
    <x v="1"/>
    <x v="1"/>
    <x v="1"/>
    <x v="0"/>
    <n v="20"/>
    <n v="15"/>
    <n v="15"/>
  </r>
  <r>
    <n v="3311"/>
    <s v="Tiago Martins"/>
    <x v="1"/>
    <x v="79"/>
    <x v="0"/>
    <x v="1"/>
    <x v="0"/>
    <x v="1"/>
    <x v="1"/>
    <x v="1"/>
    <n v="0"/>
    <n v="1"/>
    <n v="4"/>
  </r>
  <r>
    <n v="3312"/>
    <s v="Ulysses Guimarães"/>
    <x v="0"/>
    <x v="80"/>
    <x v="1"/>
    <x v="0"/>
    <x v="2"/>
    <x v="0"/>
    <x v="0"/>
    <x v="0"/>
    <n v="20"/>
    <n v="7"/>
    <n v="58"/>
  </r>
  <r>
    <n v="3313"/>
    <s v="Vanessa Silva"/>
    <x v="2"/>
    <x v="81"/>
    <x v="0"/>
    <x v="2"/>
    <x v="0"/>
    <x v="1"/>
    <x v="1"/>
    <x v="0"/>
    <n v="20"/>
    <n v="10"/>
    <n v="20"/>
  </r>
  <r>
    <n v="3314"/>
    <s v="William Carneiro"/>
    <x v="1"/>
    <x v="82"/>
    <x v="1"/>
    <x v="1"/>
    <x v="1"/>
    <x v="1"/>
    <x v="1"/>
    <x v="1"/>
    <n v="0"/>
    <n v="0"/>
    <n v="5"/>
  </r>
  <r>
    <n v="3315"/>
    <s v="Ximena Rocha"/>
    <x v="0"/>
    <x v="83"/>
    <x v="0"/>
    <x v="0"/>
    <x v="0"/>
    <x v="0"/>
    <x v="0"/>
    <x v="0"/>
    <n v="20"/>
    <n v="20"/>
    <n v="45"/>
  </r>
  <r>
    <n v="3316"/>
    <s v="Yasmin Figueiredo"/>
    <x v="2"/>
    <x v="84"/>
    <x v="1"/>
    <x v="2"/>
    <x v="2"/>
    <x v="1"/>
    <x v="1"/>
    <x v="0"/>
    <n v="20"/>
    <n v="15"/>
    <n v="15"/>
  </r>
  <r>
    <n v="3317"/>
    <s v="Zara Cunha"/>
    <x v="1"/>
    <x v="85"/>
    <x v="0"/>
    <x v="1"/>
    <x v="0"/>
    <x v="1"/>
    <x v="1"/>
    <x v="1"/>
    <n v="0"/>
    <n v="1"/>
    <n v="4"/>
  </r>
  <r>
    <n v="3318"/>
    <s v="Alan Teixeira"/>
    <x v="0"/>
    <x v="86"/>
    <x v="1"/>
    <x v="0"/>
    <x v="1"/>
    <x v="0"/>
    <x v="0"/>
    <x v="0"/>
    <n v="20"/>
    <n v="3"/>
    <n v="62"/>
  </r>
  <r>
    <n v="3319"/>
    <s v="Bárbara Oliveira"/>
    <x v="2"/>
    <x v="87"/>
    <x v="0"/>
    <x v="2"/>
    <x v="0"/>
    <x v="1"/>
    <x v="1"/>
    <x v="0"/>
    <n v="20"/>
    <n v="10"/>
    <n v="20"/>
  </r>
  <r>
    <n v="3320"/>
    <s v="Carlos Junqueira"/>
    <x v="1"/>
    <x v="88"/>
    <x v="1"/>
    <x v="1"/>
    <x v="2"/>
    <x v="1"/>
    <x v="1"/>
    <x v="1"/>
    <n v="0"/>
    <n v="0"/>
    <n v="5"/>
  </r>
  <r>
    <n v="3321"/>
    <s v="Daniela Moura"/>
    <x v="0"/>
    <x v="89"/>
    <x v="0"/>
    <x v="0"/>
    <x v="0"/>
    <x v="0"/>
    <x v="0"/>
    <x v="0"/>
    <n v="20"/>
    <n v="5"/>
    <n v="60"/>
  </r>
  <r>
    <n v="3322"/>
    <s v="Eduardo Lima"/>
    <x v="2"/>
    <x v="90"/>
    <x v="1"/>
    <x v="2"/>
    <x v="1"/>
    <x v="1"/>
    <x v="1"/>
    <x v="0"/>
    <n v="20"/>
    <n v="15"/>
    <n v="15"/>
  </r>
  <r>
    <n v="3323"/>
    <s v="Fabiana Araújo"/>
    <x v="1"/>
    <x v="91"/>
    <x v="0"/>
    <x v="1"/>
    <x v="0"/>
    <x v="1"/>
    <x v="1"/>
    <x v="1"/>
    <n v="0"/>
    <n v="1"/>
    <n v="4"/>
  </r>
  <r>
    <n v="3324"/>
    <s v="Geraldo Ribeiro"/>
    <x v="0"/>
    <x v="92"/>
    <x v="1"/>
    <x v="0"/>
    <x v="2"/>
    <x v="0"/>
    <x v="0"/>
    <x v="0"/>
    <n v="20"/>
    <n v="20"/>
    <n v="45"/>
  </r>
  <r>
    <n v="3325"/>
    <s v="Héctor Vargas"/>
    <x v="2"/>
    <x v="93"/>
    <x v="0"/>
    <x v="2"/>
    <x v="2"/>
    <x v="1"/>
    <x v="1"/>
    <x v="0"/>
    <n v="20"/>
    <n v="15"/>
    <n v="15"/>
  </r>
  <r>
    <n v="3326"/>
    <s v="Isabela Fonseca"/>
    <x v="1"/>
    <x v="94"/>
    <x v="1"/>
    <x v="1"/>
    <x v="1"/>
    <x v="1"/>
    <x v="1"/>
    <x v="1"/>
    <n v="0"/>
    <n v="0"/>
    <n v="5"/>
  </r>
  <r>
    <n v="3327"/>
    <s v="João Pedro Almeida"/>
    <x v="0"/>
    <x v="95"/>
    <x v="0"/>
    <x v="0"/>
    <x v="0"/>
    <x v="0"/>
    <x v="0"/>
    <x v="0"/>
    <n v="20"/>
    <n v="7"/>
    <n v="58"/>
  </r>
  <r>
    <n v="3328"/>
    <s v="Klara Costa"/>
    <x v="2"/>
    <x v="96"/>
    <x v="1"/>
    <x v="2"/>
    <x v="1"/>
    <x v="1"/>
    <x v="1"/>
    <x v="0"/>
    <n v="20"/>
    <n v="10"/>
    <n v="20"/>
  </r>
  <r>
    <n v="3329"/>
    <s v="Luciana Mendes"/>
    <x v="1"/>
    <x v="97"/>
    <x v="0"/>
    <x v="1"/>
    <x v="2"/>
    <x v="1"/>
    <x v="1"/>
    <x v="1"/>
    <n v="0"/>
    <n v="1"/>
    <n v="4"/>
  </r>
  <r>
    <n v="3330"/>
    <s v="Marcelo Gouveia"/>
    <x v="0"/>
    <x v="98"/>
    <x v="1"/>
    <x v="0"/>
    <x v="0"/>
    <x v="0"/>
    <x v="0"/>
    <x v="0"/>
    <n v="20"/>
    <n v="15"/>
    <n v="50"/>
  </r>
  <r>
    <n v="3331"/>
    <s v="Nívea Borges"/>
    <x v="2"/>
    <x v="99"/>
    <x v="0"/>
    <x v="2"/>
    <x v="0"/>
    <x v="1"/>
    <x v="1"/>
    <x v="0"/>
    <n v="20"/>
    <n v="5"/>
    <n v="25"/>
  </r>
  <r>
    <n v="3332"/>
    <s v="Oscar Nogueira"/>
    <x v="1"/>
    <x v="100"/>
    <x v="1"/>
    <x v="1"/>
    <x v="1"/>
    <x v="1"/>
    <x v="1"/>
    <x v="1"/>
    <n v="0"/>
    <n v="0"/>
    <n v="5"/>
  </r>
  <r>
    <n v="3333"/>
    <s v="Patrícia Alves"/>
    <x v="0"/>
    <x v="101"/>
    <x v="0"/>
    <x v="0"/>
    <x v="2"/>
    <x v="0"/>
    <x v="0"/>
    <x v="0"/>
    <n v="20"/>
    <n v="20"/>
    <n v="45"/>
  </r>
  <r>
    <n v="3334"/>
    <s v="Rafaela Silva"/>
    <x v="2"/>
    <x v="102"/>
    <x v="1"/>
    <x v="2"/>
    <x v="2"/>
    <x v="1"/>
    <x v="1"/>
    <x v="0"/>
    <n v="20"/>
    <n v="12"/>
    <n v="18"/>
  </r>
  <r>
    <n v="3335"/>
    <s v="Samantha Moraes"/>
    <x v="1"/>
    <x v="103"/>
    <x v="0"/>
    <x v="1"/>
    <x v="0"/>
    <x v="1"/>
    <x v="1"/>
    <x v="1"/>
    <n v="0"/>
    <n v="2"/>
    <n v="3"/>
  </r>
  <r>
    <n v="3336"/>
    <s v="Tatiana Rocha"/>
    <x v="1"/>
    <x v="104"/>
    <x v="0"/>
    <x v="1"/>
    <x v="0"/>
    <x v="1"/>
    <x v="1"/>
    <x v="1"/>
    <n v="0"/>
    <n v="0"/>
    <n v="5"/>
  </r>
  <r>
    <n v="3337"/>
    <s v="Ulisses Tavares"/>
    <x v="0"/>
    <x v="105"/>
    <x v="1"/>
    <x v="0"/>
    <x v="2"/>
    <x v="0"/>
    <x v="0"/>
    <x v="0"/>
    <n v="20"/>
    <n v="7"/>
    <n v="58"/>
  </r>
  <r>
    <n v="3338"/>
    <s v="Víctor Lemos"/>
    <x v="2"/>
    <x v="106"/>
    <x v="0"/>
    <x v="2"/>
    <x v="1"/>
    <x v="1"/>
    <x v="1"/>
    <x v="0"/>
    <n v="20"/>
    <n v="10"/>
    <n v="20"/>
  </r>
  <r>
    <n v="3339"/>
    <s v="Wilma Barros"/>
    <x v="1"/>
    <x v="107"/>
    <x v="1"/>
    <x v="1"/>
    <x v="2"/>
    <x v="1"/>
    <x v="1"/>
    <x v="1"/>
    <n v="0"/>
    <n v="1"/>
    <n v="4"/>
  </r>
  <r>
    <n v="3340"/>
    <s v="Xavier Nascimento"/>
    <x v="0"/>
    <x v="108"/>
    <x v="0"/>
    <x v="0"/>
    <x v="0"/>
    <x v="0"/>
    <x v="0"/>
    <x v="0"/>
    <n v="20"/>
    <n v="15"/>
    <n v="50"/>
  </r>
  <r>
    <n v="3341"/>
    <s v="Yago Pereira"/>
    <x v="2"/>
    <x v="109"/>
    <x v="1"/>
    <x v="2"/>
    <x v="0"/>
    <x v="1"/>
    <x v="1"/>
    <x v="0"/>
    <n v="20"/>
    <n v="5"/>
    <n v="25"/>
  </r>
  <r>
    <n v="3342"/>
    <s v="Zilda Ferreira"/>
    <x v="1"/>
    <x v="110"/>
    <x v="0"/>
    <x v="1"/>
    <x v="1"/>
    <x v="1"/>
    <x v="1"/>
    <x v="1"/>
    <n v="0"/>
    <n v="0"/>
    <n v="5"/>
  </r>
  <r>
    <n v="3343"/>
    <s v="Amanda Lopes"/>
    <x v="0"/>
    <x v="111"/>
    <x v="1"/>
    <x v="0"/>
    <x v="2"/>
    <x v="0"/>
    <x v="0"/>
    <x v="0"/>
    <n v="20"/>
    <n v="20"/>
    <n v="45"/>
  </r>
  <r>
    <n v="3344"/>
    <s v="Bruno Miranda"/>
    <x v="2"/>
    <x v="112"/>
    <x v="0"/>
    <x v="2"/>
    <x v="2"/>
    <x v="1"/>
    <x v="1"/>
    <x v="0"/>
    <n v="20"/>
    <n v="12"/>
    <n v="18"/>
  </r>
  <r>
    <n v="3345"/>
    <s v="Célia Torres"/>
    <x v="1"/>
    <x v="113"/>
    <x v="1"/>
    <x v="1"/>
    <x v="0"/>
    <x v="1"/>
    <x v="1"/>
    <x v="1"/>
    <n v="0"/>
    <n v="2"/>
    <n v="3"/>
  </r>
  <r>
    <n v="3346"/>
    <s v="Diogo Souza"/>
    <x v="0"/>
    <x v="114"/>
    <x v="0"/>
    <x v="0"/>
    <x v="1"/>
    <x v="0"/>
    <x v="0"/>
    <x v="0"/>
    <n v="20"/>
    <n v="5"/>
    <n v="60"/>
  </r>
  <r>
    <n v="3347"/>
    <s v="Elisa Castro"/>
    <x v="2"/>
    <x v="115"/>
    <x v="1"/>
    <x v="2"/>
    <x v="0"/>
    <x v="1"/>
    <x v="1"/>
    <x v="0"/>
    <n v="20"/>
    <n v="10"/>
    <n v="20"/>
  </r>
  <r>
    <n v="3348"/>
    <s v="Fátima Lima"/>
    <x v="1"/>
    <x v="116"/>
    <x v="0"/>
    <x v="1"/>
    <x v="2"/>
    <x v="1"/>
    <x v="1"/>
    <x v="1"/>
    <n v="0"/>
    <n v="0"/>
    <n v="5"/>
  </r>
  <r>
    <n v="3349"/>
    <s v="Geraldo Ribeiro"/>
    <x v="0"/>
    <x v="117"/>
    <x v="1"/>
    <x v="0"/>
    <x v="0"/>
    <x v="0"/>
    <x v="0"/>
    <x v="0"/>
    <n v="20"/>
    <n v="3"/>
    <n v="62"/>
  </r>
  <r>
    <n v="3350"/>
    <s v="Hélio Martins"/>
    <x v="2"/>
    <x v="118"/>
    <x v="0"/>
    <x v="2"/>
    <x v="1"/>
    <x v="1"/>
    <x v="1"/>
    <x v="0"/>
    <n v="20"/>
    <n v="15"/>
    <n v="15"/>
  </r>
  <r>
    <n v="3351"/>
    <s v="Íris Santos"/>
    <x v="1"/>
    <x v="119"/>
    <x v="1"/>
    <x v="1"/>
    <x v="0"/>
    <x v="1"/>
    <x v="1"/>
    <x v="1"/>
    <n v="0"/>
    <n v="1"/>
    <n v="4"/>
  </r>
  <r>
    <n v="3352"/>
    <s v="João Marcelo"/>
    <x v="0"/>
    <x v="120"/>
    <x v="0"/>
    <x v="0"/>
    <x v="2"/>
    <x v="0"/>
    <x v="0"/>
    <x v="0"/>
    <n v="20"/>
    <n v="7"/>
    <n v="58"/>
  </r>
  <r>
    <n v="3353"/>
    <s v="Larissa Gomes"/>
    <x v="2"/>
    <x v="121"/>
    <x v="1"/>
    <x v="2"/>
    <x v="0"/>
    <x v="1"/>
    <x v="1"/>
    <x v="0"/>
    <n v="20"/>
    <n v="10"/>
    <n v="20"/>
  </r>
  <r>
    <n v="3354"/>
    <s v="Márcio Silva"/>
    <x v="1"/>
    <x v="122"/>
    <x v="0"/>
    <x v="1"/>
    <x v="1"/>
    <x v="1"/>
    <x v="1"/>
    <x v="1"/>
    <n v="0"/>
    <n v="0"/>
    <n v="5"/>
  </r>
  <r>
    <n v="3355"/>
    <s v="Nadia Costa"/>
    <x v="0"/>
    <x v="123"/>
    <x v="1"/>
    <x v="0"/>
    <x v="0"/>
    <x v="0"/>
    <x v="0"/>
    <x v="0"/>
    <n v="20"/>
    <n v="20"/>
    <n v="45"/>
  </r>
  <r>
    <n v="3356"/>
    <s v="Oscar Almeida"/>
    <x v="2"/>
    <x v="124"/>
    <x v="0"/>
    <x v="2"/>
    <x v="2"/>
    <x v="1"/>
    <x v="1"/>
    <x v="0"/>
    <n v="20"/>
    <n v="15"/>
    <n v="15"/>
  </r>
  <r>
    <n v="3357"/>
    <s v="Patricia Soares"/>
    <x v="1"/>
    <x v="125"/>
    <x v="1"/>
    <x v="1"/>
    <x v="0"/>
    <x v="1"/>
    <x v="1"/>
    <x v="1"/>
    <n v="0"/>
    <n v="1"/>
    <n v="4"/>
  </r>
  <r>
    <n v="3358"/>
    <s v="Quênia Barros"/>
    <x v="0"/>
    <x v="126"/>
    <x v="0"/>
    <x v="0"/>
    <x v="1"/>
    <x v="0"/>
    <x v="0"/>
    <x v="0"/>
    <n v="20"/>
    <n v="3"/>
    <n v="62"/>
  </r>
  <r>
    <n v="3359"/>
    <s v="Rafael Torres"/>
    <x v="2"/>
    <x v="127"/>
    <x v="1"/>
    <x v="2"/>
    <x v="0"/>
    <x v="1"/>
    <x v="1"/>
    <x v="0"/>
    <n v="20"/>
    <n v="10"/>
    <n v="20"/>
  </r>
  <r>
    <n v="3360"/>
    <s v="Silvia Nascimento"/>
    <x v="1"/>
    <x v="128"/>
    <x v="0"/>
    <x v="1"/>
    <x v="2"/>
    <x v="1"/>
    <x v="1"/>
    <x v="1"/>
    <n v="0"/>
    <n v="0"/>
    <n v="5"/>
  </r>
  <r>
    <n v="3361"/>
    <s v="Tiago Mendes"/>
    <x v="0"/>
    <x v="129"/>
    <x v="1"/>
    <x v="0"/>
    <x v="0"/>
    <x v="0"/>
    <x v="0"/>
    <x v="0"/>
    <n v="20"/>
    <n v="15"/>
    <n v="50"/>
  </r>
  <r>
    <n v="3362"/>
    <s v="Ursula Silva"/>
    <x v="2"/>
    <x v="130"/>
    <x v="0"/>
    <x v="2"/>
    <x v="1"/>
    <x v="1"/>
    <x v="1"/>
    <x v="0"/>
    <n v="20"/>
    <n v="15"/>
    <n v="15"/>
  </r>
  <r>
    <n v="3363"/>
    <s v="Vanessa Moraes"/>
    <x v="1"/>
    <x v="131"/>
    <x v="1"/>
    <x v="1"/>
    <x v="0"/>
    <x v="1"/>
    <x v="1"/>
    <x v="1"/>
    <n v="0"/>
    <n v="1"/>
    <n v="4"/>
  </r>
  <r>
    <n v="3364"/>
    <s v="Waldir Junior"/>
    <x v="0"/>
    <x v="132"/>
    <x v="0"/>
    <x v="0"/>
    <x v="2"/>
    <x v="0"/>
    <x v="0"/>
    <x v="0"/>
    <n v="20"/>
    <n v="7"/>
    <n v="58"/>
  </r>
  <r>
    <n v="3365"/>
    <s v="Xavier Lopes"/>
    <x v="2"/>
    <x v="133"/>
    <x v="1"/>
    <x v="2"/>
    <x v="0"/>
    <x v="1"/>
    <x v="1"/>
    <x v="0"/>
    <n v="20"/>
    <n v="10"/>
    <n v="20"/>
  </r>
  <r>
    <n v="3366"/>
    <s v="Yolanda Freitas"/>
    <x v="1"/>
    <x v="134"/>
    <x v="0"/>
    <x v="1"/>
    <x v="0"/>
    <x v="1"/>
    <x v="1"/>
    <x v="1"/>
    <n v="0"/>
    <n v="0"/>
    <n v="5"/>
  </r>
  <r>
    <n v="3367"/>
    <s v="Zacarias Nunes"/>
    <x v="0"/>
    <x v="135"/>
    <x v="1"/>
    <x v="0"/>
    <x v="2"/>
    <x v="0"/>
    <x v="0"/>
    <x v="0"/>
    <n v="20"/>
    <n v="7"/>
    <n v="58"/>
  </r>
  <r>
    <n v="3368"/>
    <s v="Ana Clara Barreto"/>
    <x v="2"/>
    <x v="136"/>
    <x v="0"/>
    <x v="2"/>
    <x v="1"/>
    <x v="1"/>
    <x v="1"/>
    <x v="0"/>
    <n v="20"/>
    <n v="10"/>
    <n v="20"/>
  </r>
  <r>
    <n v="3369"/>
    <s v="Bruno Henrique"/>
    <x v="1"/>
    <x v="137"/>
    <x v="1"/>
    <x v="1"/>
    <x v="2"/>
    <x v="1"/>
    <x v="1"/>
    <x v="1"/>
    <n v="0"/>
    <n v="1"/>
    <n v="4"/>
  </r>
  <r>
    <n v="3370"/>
    <s v="Carlos Eduardo"/>
    <x v="0"/>
    <x v="138"/>
    <x v="0"/>
    <x v="0"/>
    <x v="0"/>
    <x v="0"/>
    <x v="0"/>
    <x v="0"/>
    <n v="20"/>
    <n v="15"/>
    <n v="50"/>
  </r>
  <r>
    <n v="3371"/>
    <s v="Débora Lima"/>
    <x v="2"/>
    <x v="139"/>
    <x v="1"/>
    <x v="2"/>
    <x v="0"/>
    <x v="1"/>
    <x v="1"/>
    <x v="0"/>
    <n v="20"/>
    <n v="5"/>
    <n v="25"/>
  </r>
  <r>
    <n v="3372"/>
    <s v="Elisa Neves"/>
    <x v="1"/>
    <x v="140"/>
    <x v="0"/>
    <x v="1"/>
    <x v="1"/>
    <x v="1"/>
    <x v="1"/>
    <x v="1"/>
    <n v="0"/>
    <n v="0"/>
    <n v="5"/>
  </r>
  <r>
    <n v="3373"/>
    <s v="Fabiano Gomes"/>
    <x v="0"/>
    <x v="141"/>
    <x v="1"/>
    <x v="0"/>
    <x v="2"/>
    <x v="0"/>
    <x v="0"/>
    <x v="0"/>
    <n v="20"/>
    <n v="20"/>
    <n v="45"/>
  </r>
  <r>
    <n v="3374"/>
    <s v="Gisele Oliveira"/>
    <x v="2"/>
    <x v="142"/>
    <x v="0"/>
    <x v="2"/>
    <x v="2"/>
    <x v="1"/>
    <x v="1"/>
    <x v="0"/>
    <n v="20"/>
    <n v="12"/>
    <n v="18"/>
  </r>
  <r>
    <n v="3375"/>
    <s v="Héctor Silva"/>
    <x v="1"/>
    <x v="143"/>
    <x v="1"/>
    <x v="1"/>
    <x v="0"/>
    <x v="1"/>
    <x v="1"/>
    <x v="1"/>
    <n v="0"/>
    <n v="2"/>
    <n v="3"/>
  </r>
  <r>
    <n v="3376"/>
    <s v="Igor Martins"/>
    <x v="0"/>
    <x v="144"/>
    <x v="0"/>
    <x v="0"/>
    <x v="1"/>
    <x v="0"/>
    <x v="0"/>
    <x v="0"/>
    <n v="20"/>
    <n v="5"/>
    <n v="60"/>
  </r>
  <r>
    <n v="3377"/>
    <s v="Joana Figueiredo"/>
    <x v="2"/>
    <x v="145"/>
    <x v="1"/>
    <x v="2"/>
    <x v="0"/>
    <x v="1"/>
    <x v="1"/>
    <x v="0"/>
    <n v="20"/>
    <n v="10"/>
    <n v="20"/>
  </r>
  <r>
    <n v="3378"/>
    <s v="Kleber Machado"/>
    <x v="1"/>
    <x v="146"/>
    <x v="0"/>
    <x v="1"/>
    <x v="2"/>
    <x v="1"/>
    <x v="1"/>
    <x v="1"/>
    <n v="0"/>
    <n v="0"/>
    <n v="5"/>
  </r>
  <r>
    <n v="3379"/>
    <s v="Luciana Santos"/>
    <x v="0"/>
    <x v="147"/>
    <x v="1"/>
    <x v="0"/>
    <x v="0"/>
    <x v="0"/>
    <x v="0"/>
    <x v="0"/>
    <n v="20"/>
    <n v="3"/>
    <n v="62"/>
  </r>
  <r>
    <n v="3380"/>
    <s v="Marcos Teixeira"/>
    <x v="2"/>
    <x v="148"/>
    <x v="0"/>
    <x v="2"/>
    <x v="1"/>
    <x v="1"/>
    <x v="1"/>
    <x v="0"/>
    <n v="20"/>
    <n v="15"/>
    <n v="15"/>
  </r>
  <r>
    <n v="3381"/>
    <s v="Natalia Costa"/>
    <x v="1"/>
    <x v="149"/>
    <x v="1"/>
    <x v="1"/>
    <x v="0"/>
    <x v="1"/>
    <x v="1"/>
    <x v="1"/>
    <n v="0"/>
    <n v="1"/>
    <n v="4"/>
  </r>
  <r>
    <n v="3382"/>
    <s v="Oscar Ribeiro"/>
    <x v="0"/>
    <x v="150"/>
    <x v="0"/>
    <x v="0"/>
    <x v="2"/>
    <x v="0"/>
    <x v="0"/>
    <x v="0"/>
    <n v="20"/>
    <n v="7"/>
    <n v="58"/>
  </r>
  <r>
    <n v="3383"/>
    <s v="Patricia Almeida"/>
    <x v="2"/>
    <x v="151"/>
    <x v="1"/>
    <x v="2"/>
    <x v="0"/>
    <x v="1"/>
    <x v="1"/>
    <x v="0"/>
    <n v="20"/>
    <n v="10"/>
    <n v="20"/>
  </r>
  <r>
    <n v="3384"/>
    <s v="Quirino Junior"/>
    <x v="1"/>
    <x v="152"/>
    <x v="0"/>
    <x v="1"/>
    <x v="1"/>
    <x v="1"/>
    <x v="1"/>
    <x v="1"/>
    <n v="0"/>
    <n v="0"/>
    <n v="5"/>
  </r>
  <r>
    <n v="3385"/>
    <s v="Renata Machado"/>
    <x v="0"/>
    <x v="153"/>
    <x v="1"/>
    <x v="0"/>
    <x v="0"/>
    <x v="0"/>
    <x v="0"/>
    <x v="0"/>
    <n v="20"/>
    <n v="20"/>
    <n v="45"/>
  </r>
  <r>
    <n v="3386"/>
    <s v="Sônia Alves"/>
    <x v="2"/>
    <x v="154"/>
    <x v="0"/>
    <x v="2"/>
    <x v="2"/>
    <x v="1"/>
    <x v="1"/>
    <x v="0"/>
    <n v="20"/>
    <n v="15"/>
    <n v="15"/>
  </r>
  <r>
    <n v="3387"/>
    <s v="Tiago Nunes"/>
    <x v="1"/>
    <x v="155"/>
    <x v="1"/>
    <x v="1"/>
    <x v="0"/>
    <x v="1"/>
    <x v="1"/>
    <x v="1"/>
    <n v="0"/>
    <n v="1"/>
    <n v="4"/>
  </r>
  <r>
    <n v="3388"/>
    <s v="Ulysses Pereira"/>
    <x v="0"/>
    <x v="156"/>
    <x v="0"/>
    <x v="0"/>
    <x v="1"/>
    <x v="0"/>
    <x v="0"/>
    <x v="0"/>
    <n v="20"/>
    <n v="3"/>
    <n v="62"/>
  </r>
  <r>
    <n v="3389"/>
    <s v="Vanessa Lima"/>
    <x v="2"/>
    <x v="157"/>
    <x v="1"/>
    <x v="2"/>
    <x v="0"/>
    <x v="1"/>
    <x v="1"/>
    <x v="0"/>
    <n v="20"/>
    <n v="10"/>
    <n v="20"/>
  </r>
  <r>
    <n v="3390"/>
    <s v="Wagner Santos"/>
    <x v="1"/>
    <x v="158"/>
    <x v="0"/>
    <x v="1"/>
    <x v="2"/>
    <x v="1"/>
    <x v="1"/>
    <x v="1"/>
    <n v="0"/>
    <n v="0"/>
    <n v="5"/>
  </r>
  <r>
    <n v="3391"/>
    <s v="Xuxa Meneghel"/>
    <x v="0"/>
    <x v="159"/>
    <x v="1"/>
    <x v="0"/>
    <x v="0"/>
    <x v="0"/>
    <x v="0"/>
    <x v="0"/>
    <n v="20"/>
    <n v="15"/>
    <n v="50"/>
  </r>
  <r>
    <n v="3392"/>
    <s v="Yasmin Silva"/>
    <x v="2"/>
    <x v="160"/>
    <x v="0"/>
    <x v="2"/>
    <x v="1"/>
    <x v="1"/>
    <x v="1"/>
    <x v="0"/>
    <n v="20"/>
    <n v="15"/>
    <n v="15"/>
  </r>
  <r>
    <n v="3393"/>
    <s v="Zacarias de Souza"/>
    <x v="1"/>
    <x v="161"/>
    <x v="1"/>
    <x v="1"/>
    <x v="0"/>
    <x v="1"/>
    <x v="1"/>
    <x v="1"/>
    <n v="0"/>
    <n v="1"/>
    <n v="4"/>
  </r>
  <r>
    <n v="3394"/>
    <s v="André Lima"/>
    <x v="0"/>
    <x v="162"/>
    <x v="0"/>
    <x v="0"/>
    <x v="2"/>
    <x v="0"/>
    <x v="0"/>
    <x v="0"/>
    <n v="20"/>
    <n v="7"/>
    <n v="58"/>
  </r>
  <r>
    <n v="3395"/>
    <s v="Bianca Freitas"/>
    <x v="2"/>
    <x v="163"/>
    <x v="1"/>
    <x v="2"/>
    <x v="0"/>
    <x v="1"/>
    <x v="1"/>
    <x v="0"/>
    <n v="20"/>
    <n v="10"/>
    <n v="20"/>
  </r>
  <r>
    <n v="3396"/>
    <s v="Caio Mendes"/>
    <x v="1"/>
    <x v="164"/>
    <x v="0"/>
    <x v="1"/>
    <x v="1"/>
    <x v="1"/>
    <x v="1"/>
    <x v="1"/>
    <n v="0"/>
    <n v="0"/>
    <n v="5"/>
  </r>
  <r>
    <n v="3397"/>
    <s v="Daniela Moura"/>
    <x v="0"/>
    <x v="165"/>
    <x v="1"/>
    <x v="0"/>
    <x v="0"/>
    <x v="0"/>
    <x v="0"/>
    <x v="0"/>
    <n v="20"/>
    <n v="20"/>
    <n v="45"/>
  </r>
  <r>
    <n v="3398"/>
    <s v="Eduardo Costa"/>
    <x v="2"/>
    <x v="166"/>
    <x v="0"/>
    <x v="2"/>
    <x v="2"/>
    <x v="1"/>
    <x v="1"/>
    <x v="0"/>
    <n v="20"/>
    <n v="15"/>
    <n v="15"/>
  </r>
  <r>
    <n v="3399"/>
    <s v="Fernanda Gomes"/>
    <x v="1"/>
    <x v="167"/>
    <x v="1"/>
    <x v="1"/>
    <x v="0"/>
    <x v="1"/>
    <x v="1"/>
    <x v="1"/>
    <n v="0"/>
    <n v="1"/>
    <n v="4"/>
  </r>
  <r>
    <n v="3400"/>
    <s v="Guilherme Souza"/>
    <x v="0"/>
    <x v="168"/>
    <x v="0"/>
    <x v="0"/>
    <x v="1"/>
    <x v="0"/>
    <x v="0"/>
    <x v="0"/>
    <n v="20"/>
    <n v="5"/>
    <n v="60"/>
  </r>
  <r>
    <n v="3401"/>
    <s v="Helena Ribeiro"/>
    <x v="2"/>
    <x v="169"/>
    <x v="1"/>
    <x v="2"/>
    <x v="0"/>
    <x v="1"/>
    <x v="1"/>
    <x v="0"/>
    <n v="20"/>
    <n v="10"/>
    <n v="20"/>
  </r>
  <r>
    <n v="3402"/>
    <s v="Igor Santos"/>
    <x v="1"/>
    <x v="170"/>
    <x v="0"/>
    <x v="1"/>
    <x v="2"/>
    <x v="1"/>
    <x v="1"/>
    <x v="1"/>
    <n v="0"/>
    <n v="0"/>
    <n v="5"/>
  </r>
  <r>
    <n v="3403"/>
    <s v="João Carvalho"/>
    <x v="0"/>
    <x v="171"/>
    <x v="1"/>
    <x v="0"/>
    <x v="0"/>
    <x v="0"/>
    <x v="0"/>
    <x v="0"/>
    <n v="20"/>
    <n v="3"/>
    <n v="62"/>
  </r>
  <r>
    <n v="3404"/>
    <s v="Klara Fagundes"/>
    <x v="2"/>
    <x v="172"/>
    <x v="0"/>
    <x v="2"/>
    <x v="1"/>
    <x v="1"/>
    <x v="1"/>
    <x v="0"/>
    <n v="20"/>
    <n v="15"/>
    <n v="15"/>
  </r>
  <r>
    <n v="3405"/>
    <s v="Lúcia Mendonça"/>
    <x v="1"/>
    <x v="173"/>
    <x v="1"/>
    <x v="1"/>
    <x v="0"/>
    <x v="1"/>
    <x v="1"/>
    <x v="1"/>
    <n v="0"/>
    <n v="1"/>
    <n v="4"/>
  </r>
  <r>
    <n v="3406"/>
    <s v="Marcelo Novaes"/>
    <x v="1"/>
    <x v="174"/>
    <x v="0"/>
    <x v="1"/>
    <x v="0"/>
    <x v="1"/>
    <x v="1"/>
    <x v="1"/>
    <n v="0"/>
    <n v="0"/>
    <n v="5"/>
  </r>
  <r>
    <n v="3407"/>
    <s v="Nina Pacheco"/>
    <x v="0"/>
    <x v="175"/>
    <x v="1"/>
    <x v="0"/>
    <x v="2"/>
    <x v="0"/>
    <x v="0"/>
    <x v="0"/>
    <n v="20"/>
    <n v="7"/>
    <n v="58"/>
  </r>
  <r>
    <n v="3408"/>
    <s v="Olívia Rios"/>
    <x v="2"/>
    <x v="176"/>
    <x v="0"/>
    <x v="2"/>
    <x v="1"/>
    <x v="1"/>
    <x v="1"/>
    <x v="0"/>
    <n v="20"/>
    <n v="10"/>
    <n v="20"/>
  </r>
  <r>
    <n v="3409"/>
    <s v="Paulo Quintana"/>
    <x v="1"/>
    <x v="177"/>
    <x v="1"/>
    <x v="1"/>
    <x v="2"/>
    <x v="1"/>
    <x v="1"/>
    <x v="1"/>
    <n v="0"/>
    <n v="1"/>
    <n v="4"/>
  </r>
  <r>
    <n v="3410"/>
    <s v="Raquel Domingos"/>
    <x v="0"/>
    <x v="178"/>
    <x v="0"/>
    <x v="0"/>
    <x v="0"/>
    <x v="0"/>
    <x v="0"/>
    <x v="0"/>
    <n v="20"/>
    <n v="15"/>
    <n v="50"/>
  </r>
  <r>
    <n v="3411"/>
    <s v="Samuel Viana"/>
    <x v="2"/>
    <x v="179"/>
    <x v="1"/>
    <x v="2"/>
    <x v="0"/>
    <x v="1"/>
    <x v="1"/>
    <x v="0"/>
    <n v="20"/>
    <n v="5"/>
    <n v="25"/>
  </r>
  <r>
    <n v="3412"/>
    <s v="Tatiane Rocha"/>
    <x v="1"/>
    <x v="180"/>
    <x v="0"/>
    <x v="1"/>
    <x v="1"/>
    <x v="1"/>
    <x v="1"/>
    <x v="1"/>
    <n v="0"/>
    <n v="0"/>
    <n v="5"/>
  </r>
  <r>
    <n v="3413"/>
    <s v="Ulysses Farias"/>
    <x v="0"/>
    <x v="181"/>
    <x v="1"/>
    <x v="0"/>
    <x v="2"/>
    <x v="0"/>
    <x v="0"/>
    <x v="0"/>
    <n v="20"/>
    <n v="20"/>
    <n v="45"/>
  </r>
  <r>
    <n v="3414"/>
    <s v="Vanessa Moreira"/>
    <x v="2"/>
    <x v="182"/>
    <x v="0"/>
    <x v="2"/>
    <x v="2"/>
    <x v="1"/>
    <x v="1"/>
    <x v="0"/>
    <n v="20"/>
    <n v="12"/>
    <n v="18"/>
  </r>
  <r>
    <n v="3415"/>
    <s v="William Carvalho"/>
    <x v="1"/>
    <x v="183"/>
    <x v="1"/>
    <x v="1"/>
    <x v="0"/>
    <x v="1"/>
    <x v="1"/>
    <x v="1"/>
    <n v="0"/>
    <n v="2"/>
    <n v="3"/>
  </r>
  <r>
    <n v="3416"/>
    <s v="Ximena Barros"/>
    <x v="0"/>
    <x v="184"/>
    <x v="0"/>
    <x v="0"/>
    <x v="1"/>
    <x v="0"/>
    <x v="0"/>
    <x v="0"/>
    <n v="20"/>
    <n v="5"/>
    <n v="60"/>
  </r>
  <r>
    <n v="3417"/>
    <s v="Yara Machado"/>
    <x v="2"/>
    <x v="185"/>
    <x v="1"/>
    <x v="2"/>
    <x v="0"/>
    <x v="1"/>
    <x v="1"/>
    <x v="0"/>
    <n v="20"/>
    <n v="10"/>
    <n v="20"/>
  </r>
  <r>
    <n v="3418"/>
    <s v="Zacarias Costa"/>
    <x v="1"/>
    <x v="186"/>
    <x v="0"/>
    <x v="1"/>
    <x v="2"/>
    <x v="1"/>
    <x v="1"/>
    <x v="1"/>
    <n v="0"/>
    <n v="0"/>
    <n v="5"/>
  </r>
  <r>
    <n v="3419"/>
    <s v="André Lopes"/>
    <x v="0"/>
    <x v="187"/>
    <x v="1"/>
    <x v="0"/>
    <x v="0"/>
    <x v="0"/>
    <x v="0"/>
    <x v="0"/>
    <n v="20"/>
    <n v="3"/>
    <n v="62"/>
  </r>
  <r>
    <n v="3420"/>
    <s v="Beatriz Souza"/>
    <x v="2"/>
    <x v="188"/>
    <x v="0"/>
    <x v="2"/>
    <x v="1"/>
    <x v="1"/>
    <x v="1"/>
    <x v="0"/>
    <n v="20"/>
    <n v="15"/>
    <n v="15"/>
  </r>
  <r>
    <n v="3421"/>
    <s v="Caio Pereira"/>
    <x v="1"/>
    <x v="189"/>
    <x v="1"/>
    <x v="1"/>
    <x v="0"/>
    <x v="1"/>
    <x v="1"/>
    <x v="1"/>
    <n v="0"/>
    <n v="1"/>
    <n v="4"/>
  </r>
  <r>
    <n v="3422"/>
    <s v="Daniela Araújo"/>
    <x v="0"/>
    <x v="190"/>
    <x v="0"/>
    <x v="0"/>
    <x v="2"/>
    <x v="0"/>
    <x v="0"/>
    <x v="0"/>
    <n v="20"/>
    <n v="7"/>
    <n v="58"/>
  </r>
  <r>
    <n v="3423"/>
    <s v="Eduardo Santos"/>
    <x v="2"/>
    <x v="191"/>
    <x v="1"/>
    <x v="2"/>
    <x v="0"/>
    <x v="1"/>
    <x v="1"/>
    <x v="0"/>
    <n v="20"/>
    <n v="10"/>
    <n v="20"/>
  </r>
  <r>
    <n v="3424"/>
    <s v="Fernanda Lima"/>
    <x v="1"/>
    <x v="192"/>
    <x v="0"/>
    <x v="1"/>
    <x v="1"/>
    <x v="1"/>
    <x v="1"/>
    <x v="1"/>
    <n v="0"/>
    <n v="0"/>
    <n v="5"/>
  </r>
  <r>
    <n v="3425"/>
    <s v="Gabriel Teixeira"/>
    <x v="0"/>
    <x v="193"/>
    <x v="1"/>
    <x v="0"/>
    <x v="0"/>
    <x v="0"/>
    <x v="0"/>
    <x v="0"/>
    <n v="20"/>
    <n v="20"/>
    <n v="45"/>
  </r>
  <r>
    <n v="3426"/>
    <s v="Helena Ribeiro"/>
    <x v="2"/>
    <x v="194"/>
    <x v="0"/>
    <x v="2"/>
    <x v="2"/>
    <x v="1"/>
    <x v="1"/>
    <x v="0"/>
    <n v="20"/>
    <n v="15"/>
    <n v="15"/>
  </r>
  <r>
    <n v="3427"/>
    <s v="Igor Mendes"/>
    <x v="1"/>
    <x v="195"/>
    <x v="1"/>
    <x v="1"/>
    <x v="0"/>
    <x v="1"/>
    <x v="1"/>
    <x v="1"/>
    <n v="0"/>
    <n v="1"/>
    <n v="4"/>
  </r>
  <r>
    <n v="3428"/>
    <s v="Joana Silveira"/>
    <x v="0"/>
    <x v="196"/>
    <x v="0"/>
    <x v="0"/>
    <x v="1"/>
    <x v="0"/>
    <x v="0"/>
    <x v="0"/>
    <n v="20"/>
    <n v="3"/>
    <n v="62"/>
  </r>
  <r>
    <n v="3429"/>
    <s v="Lucas Martins"/>
    <x v="2"/>
    <x v="197"/>
    <x v="1"/>
    <x v="2"/>
    <x v="0"/>
    <x v="1"/>
    <x v="1"/>
    <x v="0"/>
    <n v="20"/>
    <n v="10"/>
    <n v="20"/>
  </r>
  <r>
    <n v="3430"/>
    <s v="Marcela Gouveia"/>
    <x v="1"/>
    <x v="198"/>
    <x v="0"/>
    <x v="1"/>
    <x v="2"/>
    <x v="1"/>
    <x v="1"/>
    <x v="1"/>
    <n v="0"/>
    <n v="0"/>
    <n v="5"/>
  </r>
  <r>
    <n v="3431"/>
    <s v="Nicolas Borges"/>
    <x v="0"/>
    <x v="199"/>
    <x v="1"/>
    <x v="0"/>
    <x v="0"/>
    <x v="0"/>
    <x v="0"/>
    <x v="0"/>
    <n v="20"/>
    <n v="15"/>
    <n v="50"/>
  </r>
  <r>
    <n v="3432"/>
    <s v="Olivia Freitas"/>
    <x v="2"/>
    <x v="200"/>
    <x v="0"/>
    <x v="2"/>
    <x v="1"/>
    <x v="1"/>
    <x v="1"/>
    <x v="0"/>
    <n v="20"/>
    <n v="15"/>
    <n v="15"/>
  </r>
  <r>
    <n v="3433"/>
    <s v="Paulo Nogueira"/>
    <x v="1"/>
    <x v="201"/>
    <x v="1"/>
    <x v="1"/>
    <x v="0"/>
    <x v="1"/>
    <x v="1"/>
    <x v="1"/>
    <n v="0"/>
    <n v="1"/>
    <n v="4"/>
  </r>
  <r>
    <n v="3434"/>
    <s v="Raquel Andrade"/>
    <x v="0"/>
    <x v="202"/>
    <x v="0"/>
    <x v="0"/>
    <x v="2"/>
    <x v="0"/>
    <x v="0"/>
    <x v="0"/>
    <n v="20"/>
    <n v="7"/>
    <n v="58"/>
  </r>
  <r>
    <n v="3435"/>
    <s v="Sônia Carvalho"/>
    <x v="2"/>
    <x v="203"/>
    <x v="1"/>
    <x v="2"/>
    <x v="0"/>
    <x v="1"/>
    <x v="1"/>
    <x v="0"/>
    <n v="20"/>
    <n v="10"/>
    <n v="20"/>
  </r>
  <r>
    <n v="3436"/>
    <s v="Tiago Rodrigues"/>
    <x v="1"/>
    <x v="204"/>
    <x v="0"/>
    <x v="1"/>
    <x v="0"/>
    <x v="1"/>
    <x v="1"/>
    <x v="1"/>
    <n v="0"/>
    <n v="0"/>
    <n v="5"/>
  </r>
  <r>
    <n v="3437"/>
    <s v="Ursula Monteiro"/>
    <x v="0"/>
    <x v="205"/>
    <x v="1"/>
    <x v="0"/>
    <x v="2"/>
    <x v="0"/>
    <x v="0"/>
    <x v="0"/>
    <n v="20"/>
    <n v="7"/>
    <n v="58"/>
  </r>
  <r>
    <n v="3438"/>
    <s v="Vanessa Pereira"/>
    <x v="2"/>
    <x v="206"/>
    <x v="0"/>
    <x v="2"/>
    <x v="1"/>
    <x v="1"/>
    <x v="1"/>
    <x v="0"/>
    <n v="20"/>
    <n v="10"/>
    <n v="20"/>
  </r>
  <r>
    <n v="3439"/>
    <s v="Walter Silva"/>
    <x v="1"/>
    <x v="207"/>
    <x v="1"/>
    <x v="1"/>
    <x v="2"/>
    <x v="1"/>
    <x v="1"/>
    <x v="1"/>
    <n v="0"/>
    <n v="1"/>
    <n v="4"/>
  </r>
  <r>
    <n v="3440"/>
    <s v="Xavier Almeida"/>
    <x v="0"/>
    <x v="208"/>
    <x v="0"/>
    <x v="0"/>
    <x v="0"/>
    <x v="0"/>
    <x v="0"/>
    <x v="0"/>
    <n v="20"/>
    <n v="15"/>
    <n v="50"/>
  </r>
  <r>
    <n v="3441"/>
    <s v="Yasmine Correia"/>
    <x v="2"/>
    <x v="209"/>
    <x v="1"/>
    <x v="2"/>
    <x v="0"/>
    <x v="1"/>
    <x v="1"/>
    <x v="0"/>
    <n v="20"/>
    <n v="5"/>
    <n v="25"/>
  </r>
  <r>
    <n v="3442"/>
    <s v="Zacarias Almeida"/>
    <x v="1"/>
    <x v="210"/>
    <x v="0"/>
    <x v="1"/>
    <x v="1"/>
    <x v="1"/>
    <x v="1"/>
    <x v="1"/>
    <n v="0"/>
    <n v="0"/>
    <n v="5"/>
  </r>
  <r>
    <n v="3443"/>
    <s v="Amanda Costa"/>
    <x v="0"/>
    <x v="211"/>
    <x v="1"/>
    <x v="0"/>
    <x v="2"/>
    <x v="0"/>
    <x v="0"/>
    <x v="0"/>
    <n v="20"/>
    <n v="20"/>
    <n v="45"/>
  </r>
  <r>
    <n v="3444"/>
    <s v="Bruno Ferreira"/>
    <x v="2"/>
    <x v="212"/>
    <x v="0"/>
    <x v="2"/>
    <x v="2"/>
    <x v="1"/>
    <x v="1"/>
    <x v="0"/>
    <n v="20"/>
    <n v="12"/>
    <n v="18"/>
  </r>
  <r>
    <n v="3445"/>
    <s v="Carla Dias"/>
    <x v="1"/>
    <x v="213"/>
    <x v="1"/>
    <x v="1"/>
    <x v="0"/>
    <x v="1"/>
    <x v="1"/>
    <x v="1"/>
    <n v="0"/>
    <n v="2"/>
    <n v="3"/>
  </r>
  <r>
    <n v="3446"/>
    <s v="Diogo Martins"/>
    <x v="0"/>
    <x v="214"/>
    <x v="0"/>
    <x v="0"/>
    <x v="1"/>
    <x v="0"/>
    <x v="0"/>
    <x v="0"/>
    <n v="20"/>
    <n v="5"/>
    <n v="60"/>
  </r>
  <r>
    <n v="3447"/>
    <s v="Elisa Campos"/>
    <x v="2"/>
    <x v="215"/>
    <x v="1"/>
    <x v="2"/>
    <x v="0"/>
    <x v="1"/>
    <x v="1"/>
    <x v="0"/>
    <n v="20"/>
    <n v="10"/>
    <n v="20"/>
  </r>
  <r>
    <n v="3448"/>
    <s v="Fabiana Lima"/>
    <x v="1"/>
    <x v="216"/>
    <x v="0"/>
    <x v="1"/>
    <x v="2"/>
    <x v="1"/>
    <x v="1"/>
    <x v="1"/>
    <n v="0"/>
    <n v="0"/>
    <n v="5"/>
  </r>
  <r>
    <n v="3449"/>
    <s v="Gabriel Santos"/>
    <x v="0"/>
    <x v="217"/>
    <x v="1"/>
    <x v="0"/>
    <x v="0"/>
    <x v="0"/>
    <x v="0"/>
    <x v="0"/>
    <n v="20"/>
    <n v="3"/>
    <n v="62"/>
  </r>
  <r>
    <n v="3450"/>
    <s v="Helena Ferreira"/>
    <x v="2"/>
    <x v="218"/>
    <x v="0"/>
    <x v="2"/>
    <x v="1"/>
    <x v="1"/>
    <x v="1"/>
    <x v="0"/>
    <n v="20"/>
    <n v="15"/>
    <n v="15"/>
  </r>
  <r>
    <n v="3451"/>
    <s v="Ígor Nunes"/>
    <x v="1"/>
    <x v="219"/>
    <x v="1"/>
    <x v="1"/>
    <x v="0"/>
    <x v="1"/>
    <x v="1"/>
    <x v="1"/>
    <n v="0"/>
    <n v="1"/>
    <n v="4"/>
  </r>
  <r>
    <n v="3452"/>
    <s v="Joana Silveira"/>
    <x v="0"/>
    <x v="220"/>
    <x v="0"/>
    <x v="0"/>
    <x v="2"/>
    <x v="0"/>
    <x v="0"/>
    <x v="0"/>
    <n v="20"/>
    <n v="7"/>
    <n v="58"/>
  </r>
  <r>
    <n v="3453"/>
    <s v="Kléber Oliveira"/>
    <x v="2"/>
    <x v="221"/>
    <x v="1"/>
    <x v="2"/>
    <x v="0"/>
    <x v="1"/>
    <x v="1"/>
    <x v="0"/>
    <n v="20"/>
    <n v="10"/>
    <n v="20"/>
  </r>
  <r>
    <n v="3454"/>
    <s v="Luciana Morais"/>
    <x v="1"/>
    <x v="222"/>
    <x v="0"/>
    <x v="1"/>
    <x v="1"/>
    <x v="1"/>
    <x v="1"/>
    <x v="1"/>
    <n v="0"/>
    <n v="0"/>
    <n v="5"/>
  </r>
  <r>
    <n v="3455"/>
    <s v="Marcos Vinícius"/>
    <x v="0"/>
    <x v="223"/>
    <x v="1"/>
    <x v="0"/>
    <x v="0"/>
    <x v="0"/>
    <x v="0"/>
    <x v="0"/>
    <n v="20"/>
    <n v="20"/>
    <n v="45"/>
  </r>
  <r>
    <n v="3456"/>
    <s v="Natália Barros"/>
    <x v="2"/>
    <x v="224"/>
    <x v="0"/>
    <x v="2"/>
    <x v="2"/>
    <x v="1"/>
    <x v="1"/>
    <x v="0"/>
    <n v="20"/>
    <n v="15"/>
    <n v="15"/>
  </r>
  <r>
    <n v="3457"/>
    <s v="Oscar Sampaio"/>
    <x v="1"/>
    <x v="225"/>
    <x v="1"/>
    <x v="1"/>
    <x v="0"/>
    <x v="1"/>
    <x v="1"/>
    <x v="1"/>
    <n v="0"/>
    <n v="1"/>
    <n v="4"/>
  </r>
  <r>
    <n v="3458"/>
    <s v="Patrícia Leite"/>
    <x v="0"/>
    <x v="226"/>
    <x v="0"/>
    <x v="0"/>
    <x v="1"/>
    <x v="0"/>
    <x v="0"/>
    <x v="0"/>
    <n v="20"/>
    <n v="3"/>
    <n v="62"/>
  </r>
  <r>
    <n v="3459"/>
    <s v="Quênia Rocha"/>
    <x v="2"/>
    <x v="227"/>
    <x v="1"/>
    <x v="2"/>
    <x v="0"/>
    <x v="1"/>
    <x v="1"/>
    <x v="0"/>
    <n v="20"/>
    <n v="10"/>
    <n v="20"/>
  </r>
  <r>
    <n v="3460"/>
    <s v="Rafael Torres"/>
    <x v="1"/>
    <x v="228"/>
    <x v="0"/>
    <x v="1"/>
    <x v="2"/>
    <x v="1"/>
    <x v="1"/>
    <x v="1"/>
    <n v="0"/>
    <n v="0"/>
    <n v="5"/>
  </r>
  <r>
    <n v="3461"/>
    <s v="Sandra Gouveia"/>
    <x v="0"/>
    <x v="229"/>
    <x v="1"/>
    <x v="0"/>
    <x v="0"/>
    <x v="0"/>
    <x v="0"/>
    <x v="0"/>
    <n v="20"/>
    <n v="15"/>
    <n v="50"/>
  </r>
  <r>
    <n v="3462"/>
    <s v="Tiago Lacerda"/>
    <x v="2"/>
    <x v="230"/>
    <x v="0"/>
    <x v="2"/>
    <x v="1"/>
    <x v="1"/>
    <x v="1"/>
    <x v="0"/>
    <n v="20"/>
    <n v="15"/>
    <n v="15"/>
  </r>
  <r>
    <n v="3463"/>
    <s v="Ursula Fonseca"/>
    <x v="1"/>
    <x v="231"/>
    <x v="1"/>
    <x v="1"/>
    <x v="0"/>
    <x v="1"/>
    <x v="1"/>
    <x v="1"/>
    <n v="0"/>
    <n v="1"/>
    <n v="4"/>
  </r>
  <r>
    <n v="3464"/>
    <s v="Vanessa Andrade"/>
    <x v="0"/>
    <x v="232"/>
    <x v="0"/>
    <x v="0"/>
    <x v="2"/>
    <x v="0"/>
    <x v="0"/>
    <x v="0"/>
    <n v="20"/>
    <n v="7"/>
    <n v="58"/>
  </r>
  <r>
    <n v="3465"/>
    <s v="William Castro"/>
    <x v="2"/>
    <x v="233"/>
    <x v="1"/>
    <x v="2"/>
    <x v="0"/>
    <x v="1"/>
    <x v="1"/>
    <x v="0"/>
    <n v="20"/>
    <n v="10"/>
    <n v="20"/>
  </r>
  <r>
    <n v="3466"/>
    <s v="Xavier Monteiro"/>
    <x v="1"/>
    <x v="234"/>
    <x v="0"/>
    <x v="1"/>
    <x v="1"/>
    <x v="1"/>
    <x v="1"/>
    <x v="1"/>
    <n v="0"/>
    <n v="0"/>
    <n v="5"/>
  </r>
  <r>
    <n v="3467"/>
    <s v="Yasmin Figueira"/>
    <x v="0"/>
    <x v="235"/>
    <x v="1"/>
    <x v="0"/>
    <x v="0"/>
    <x v="0"/>
    <x v="0"/>
    <x v="0"/>
    <n v="20"/>
    <n v="15"/>
    <n v="50"/>
  </r>
  <r>
    <n v="3468"/>
    <s v="Zacarias Mendonça"/>
    <x v="2"/>
    <x v="236"/>
    <x v="0"/>
    <x v="2"/>
    <x v="2"/>
    <x v="1"/>
    <x v="1"/>
    <x v="0"/>
    <n v="20"/>
    <n v="12"/>
    <n v="18"/>
  </r>
  <r>
    <n v="3469"/>
    <s v="Amanda Menezes"/>
    <x v="1"/>
    <x v="237"/>
    <x v="1"/>
    <x v="1"/>
    <x v="0"/>
    <x v="1"/>
    <x v="1"/>
    <x v="1"/>
    <n v="0"/>
    <n v="2"/>
    <n v="3"/>
  </r>
  <r>
    <n v="3470"/>
    <s v="Bruno Santos"/>
    <x v="0"/>
    <x v="238"/>
    <x v="0"/>
    <x v="0"/>
    <x v="1"/>
    <x v="0"/>
    <x v="0"/>
    <x v="0"/>
    <n v="20"/>
    <n v="5"/>
    <n v="60"/>
  </r>
  <r>
    <n v="3471"/>
    <s v="Carla Ferreira"/>
    <x v="2"/>
    <x v="239"/>
    <x v="1"/>
    <x v="2"/>
    <x v="0"/>
    <x v="1"/>
    <x v="1"/>
    <x v="0"/>
    <n v="20"/>
    <n v="10"/>
    <n v="20"/>
  </r>
  <r>
    <n v="3472"/>
    <s v="Diogo Alves"/>
    <x v="1"/>
    <x v="240"/>
    <x v="0"/>
    <x v="1"/>
    <x v="2"/>
    <x v="1"/>
    <x v="1"/>
    <x v="1"/>
    <n v="0"/>
    <n v="0"/>
    <n v="5"/>
  </r>
  <r>
    <n v="3473"/>
    <s v="Elisa Neves"/>
    <x v="0"/>
    <x v="241"/>
    <x v="1"/>
    <x v="0"/>
    <x v="0"/>
    <x v="0"/>
    <x v="0"/>
    <x v="0"/>
    <n v="20"/>
    <n v="3"/>
    <n v="62"/>
  </r>
  <r>
    <n v="3474"/>
    <s v="Fabiano Pires"/>
    <x v="2"/>
    <x v="242"/>
    <x v="0"/>
    <x v="2"/>
    <x v="1"/>
    <x v="1"/>
    <x v="1"/>
    <x v="0"/>
    <n v="20"/>
    <n v="15"/>
    <n v="15"/>
  </r>
  <r>
    <n v="3475"/>
    <s v="Giovana Ribeiro"/>
    <x v="1"/>
    <x v="243"/>
    <x v="1"/>
    <x v="1"/>
    <x v="0"/>
    <x v="1"/>
    <x v="1"/>
    <x v="1"/>
    <n v="0"/>
    <n v="1"/>
    <n v="4"/>
  </r>
  <r>
    <n v="3476"/>
    <s v="Hélio Costa"/>
    <x v="0"/>
    <x v="244"/>
    <x v="0"/>
    <x v="0"/>
    <x v="2"/>
    <x v="0"/>
    <x v="0"/>
    <x v="0"/>
    <n v="20"/>
    <n v="7"/>
    <n v="58"/>
  </r>
  <r>
    <n v="3477"/>
    <s v="Íris Loureiro"/>
    <x v="2"/>
    <x v="245"/>
    <x v="1"/>
    <x v="2"/>
    <x v="0"/>
    <x v="1"/>
    <x v="1"/>
    <x v="0"/>
    <n v="20"/>
    <n v="10"/>
    <n v="20"/>
  </r>
  <r>
    <n v="3478"/>
    <s v="João Pereira"/>
    <x v="1"/>
    <x v="246"/>
    <x v="0"/>
    <x v="1"/>
    <x v="1"/>
    <x v="1"/>
    <x v="1"/>
    <x v="1"/>
    <n v="0"/>
    <n v="0"/>
    <n v="5"/>
  </r>
  <r>
    <n v="3479"/>
    <s v="Klara Silva"/>
    <x v="0"/>
    <x v="247"/>
    <x v="1"/>
    <x v="0"/>
    <x v="0"/>
    <x v="0"/>
    <x v="0"/>
    <x v="0"/>
    <n v="20"/>
    <n v="20"/>
    <n v="45"/>
  </r>
  <r>
    <n v="3480"/>
    <s v="Luciana Barros"/>
    <x v="2"/>
    <x v="248"/>
    <x v="0"/>
    <x v="2"/>
    <x v="2"/>
    <x v="1"/>
    <x v="1"/>
    <x v="0"/>
    <n v="20"/>
    <n v="15"/>
    <n v="15"/>
  </r>
  <r>
    <n v="3481"/>
    <s v="Marcos Gomes"/>
    <x v="1"/>
    <x v="249"/>
    <x v="1"/>
    <x v="1"/>
    <x v="0"/>
    <x v="1"/>
    <x v="1"/>
    <x v="1"/>
    <n v="0"/>
    <n v="1"/>
    <n v="4"/>
  </r>
  <r>
    <n v="3482"/>
    <s v="Natália Soares"/>
    <x v="0"/>
    <x v="250"/>
    <x v="0"/>
    <x v="0"/>
    <x v="1"/>
    <x v="0"/>
    <x v="0"/>
    <x v="0"/>
    <n v="20"/>
    <n v="3"/>
    <n v="62"/>
  </r>
  <r>
    <n v="3483"/>
    <s v="Oscar Machado"/>
    <x v="2"/>
    <x v="251"/>
    <x v="1"/>
    <x v="2"/>
    <x v="0"/>
    <x v="1"/>
    <x v="1"/>
    <x v="0"/>
    <n v="20"/>
    <n v="10"/>
    <n v="20"/>
  </r>
  <r>
    <n v="3484"/>
    <s v="Patrícia Lima"/>
    <x v="1"/>
    <x v="252"/>
    <x v="0"/>
    <x v="1"/>
    <x v="2"/>
    <x v="1"/>
    <x v="1"/>
    <x v="1"/>
    <n v="0"/>
    <n v="0"/>
    <n v="5"/>
  </r>
  <r>
    <n v="3485"/>
    <s v="Quirino Neto"/>
    <x v="0"/>
    <x v="253"/>
    <x v="1"/>
    <x v="0"/>
    <x v="0"/>
    <x v="0"/>
    <x v="0"/>
    <x v="0"/>
    <n v="20"/>
    <n v="15"/>
    <n v="50"/>
  </r>
  <r>
    <n v="3486"/>
    <s v="Rafaela Souza"/>
    <x v="1"/>
    <x v="254"/>
    <x v="0"/>
    <x v="1"/>
    <x v="0"/>
    <x v="1"/>
    <x v="1"/>
    <x v="1"/>
    <n v="0"/>
    <n v="0"/>
    <n v="5"/>
  </r>
  <r>
    <n v="3487"/>
    <s v="Sandro Almeida"/>
    <x v="0"/>
    <x v="255"/>
    <x v="1"/>
    <x v="0"/>
    <x v="2"/>
    <x v="0"/>
    <x v="0"/>
    <x v="0"/>
    <n v="20"/>
    <n v="7"/>
    <n v="58"/>
  </r>
  <r>
    <n v="3488"/>
    <s v="Tânia Ribeiro"/>
    <x v="2"/>
    <x v="256"/>
    <x v="0"/>
    <x v="2"/>
    <x v="1"/>
    <x v="1"/>
    <x v="1"/>
    <x v="0"/>
    <n v="20"/>
    <n v="10"/>
    <n v="20"/>
  </r>
  <r>
    <n v="3489"/>
    <s v="Ugo Dias"/>
    <x v="1"/>
    <x v="257"/>
    <x v="1"/>
    <x v="1"/>
    <x v="2"/>
    <x v="1"/>
    <x v="1"/>
    <x v="1"/>
    <n v="0"/>
    <n v="1"/>
    <n v="4"/>
  </r>
  <r>
    <n v="3490"/>
    <s v="Valéria Lima"/>
    <x v="0"/>
    <x v="258"/>
    <x v="0"/>
    <x v="0"/>
    <x v="0"/>
    <x v="0"/>
    <x v="0"/>
    <x v="0"/>
    <n v="20"/>
    <n v="15"/>
    <n v="50"/>
  </r>
  <r>
    <n v="3491"/>
    <s v="William Fernandes"/>
    <x v="2"/>
    <x v="259"/>
    <x v="1"/>
    <x v="2"/>
    <x v="0"/>
    <x v="1"/>
    <x v="1"/>
    <x v="0"/>
    <n v="20"/>
    <n v="5"/>
    <n v="25"/>
  </r>
  <r>
    <n v="3492"/>
    <s v="Xuxa Mendes"/>
    <x v="1"/>
    <x v="260"/>
    <x v="0"/>
    <x v="1"/>
    <x v="1"/>
    <x v="1"/>
    <x v="1"/>
    <x v="1"/>
    <n v="0"/>
    <n v="0"/>
    <n v="5"/>
  </r>
  <r>
    <n v="3493"/>
    <s v="Ygor Farias"/>
    <x v="0"/>
    <x v="261"/>
    <x v="1"/>
    <x v="0"/>
    <x v="2"/>
    <x v="0"/>
    <x v="0"/>
    <x v="0"/>
    <n v="20"/>
    <n v="20"/>
    <n v="45"/>
  </r>
  <r>
    <n v="3494"/>
    <s v="Zilda Barros"/>
    <x v="2"/>
    <x v="262"/>
    <x v="0"/>
    <x v="2"/>
    <x v="2"/>
    <x v="1"/>
    <x v="1"/>
    <x v="0"/>
    <n v="20"/>
    <n v="12"/>
    <n v="18"/>
  </r>
  <r>
    <n v="3495"/>
    <s v="Amanda Santos"/>
    <x v="1"/>
    <x v="263"/>
    <x v="1"/>
    <x v="1"/>
    <x v="0"/>
    <x v="1"/>
    <x v="1"/>
    <x v="1"/>
    <n v="0"/>
    <n v="2"/>
    <n v="3"/>
  </r>
  <r>
    <n v="3496"/>
    <s v="Bruno Costa"/>
    <x v="0"/>
    <x v="264"/>
    <x v="0"/>
    <x v="0"/>
    <x v="1"/>
    <x v="0"/>
    <x v="0"/>
    <x v="0"/>
    <n v="20"/>
    <n v="5"/>
    <n v="60"/>
  </r>
  <r>
    <n v="3497"/>
    <s v="Carla Rodrigues"/>
    <x v="2"/>
    <x v="265"/>
    <x v="1"/>
    <x v="2"/>
    <x v="0"/>
    <x v="1"/>
    <x v="1"/>
    <x v="0"/>
    <n v="20"/>
    <n v="10"/>
    <n v="20"/>
  </r>
  <r>
    <n v="3498"/>
    <s v="Diogo Pereira"/>
    <x v="1"/>
    <x v="266"/>
    <x v="0"/>
    <x v="1"/>
    <x v="2"/>
    <x v="1"/>
    <x v="1"/>
    <x v="1"/>
    <n v="0"/>
    <n v="0"/>
    <n v="5"/>
  </r>
  <r>
    <n v="3499"/>
    <s v="Elisa Correia"/>
    <x v="0"/>
    <x v="267"/>
    <x v="1"/>
    <x v="0"/>
    <x v="0"/>
    <x v="0"/>
    <x v="0"/>
    <x v="0"/>
    <n v="20"/>
    <n v="3"/>
    <n v="62"/>
  </r>
  <r>
    <n v="3500"/>
    <s v="Fábio Lourenço"/>
    <x v="2"/>
    <x v="268"/>
    <x v="0"/>
    <x v="2"/>
    <x v="1"/>
    <x v="1"/>
    <x v="1"/>
    <x v="0"/>
    <n v="20"/>
    <n v="15"/>
    <n v="15"/>
  </r>
  <r>
    <n v="3501"/>
    <s v="Gabriela Neves"/>
    <x v="1"/>
    <x v="269"/>
    <x v="1"/>
    <x v="1"/>
    <x v="0"/>
    <x v="1"/>
    <x v="1"/>
    <x v="1"/>
    <n v="0"/>
    <n v="1"/>
    <n v="4"/>
  </r>
  <r>
    <n v="3502"/>
    <s v="Henrique Gonçalves"/>
    <x v="0"/>
    <x v="270"/>
    <x v="0"/>
    <x v="0"/>
    <x v="2"/>
    <x v="0"/>
    <x v="0"/>
    <x v="0"/>
    <n v="20"/>
    <n v="7"/>
    <n v="58"/>
  </r>
  <r>
    <n v="3503"/>
    <s v="Íris Santos"/>
    <x v="2"/>
    <x v="271"/>
    <x v="1"/>
    <x v="2"/>
    <x v="0"/>
    <x v="1"/>
    <x v="1"/>
    <x v="0"/>
    <n v="20"/>
    <n v="10"/>
    <n v="20"/>
  </r>
  <r>
    <n v="3504"/>
    <s v="João Marcelo Alves"/>
    <x v="1"/>
    <x v="272"/>
    <x v="0"/>
    <x v="1"/>
    <x v="1"/>
    <x v="1"/>
    <x v="1"/>
    <x v="1"/>
    <n v="0"/>
    <n v="0"/>
    <n v="5"/>
  </r>
  <r>
    <n v="3505"/>
    <s v="Klara Fonseca"/>
    <x v="0"/>
    <x v="273"/>
    <x v="1"/>
    <x v="0"/>
    <x v="0"/>
    <x v="0"/>
    <x v="0"/>
    <x v="0"/>
    <n v="20"/>
    <n v="20"/>
    <n v="45"/>
  </r>
  <r>
    <n v="3506"/>
    <s v="Lucas Mendonça"/>
    <x v="2"/>
    <x v="274"/>
    <x v="0"/>
    <x v="2"/>
    <x v="2"/>
    <x v="1"/>
    <x v="1"/>
    <x v="0"/>
    <n v="20"/>
    <n v="15"/>
    <n v="15"/>
  </r>
  <r>
    <n v="3507"/>
    <s v="Marcela Torres"/>
    <x v="1"/>
    <x v="275"/>
    <x v="1"/>
    <x v="1"/>
    <x v="0"/>
    <x v="1"/>
    <x v="1"/>
    <x v="1"/>
    <n v="0"/>
    <n v="1"/>
    <n v="4"/>
  </r>
  <r>
    <n v="3508"/>
    <s v="Natália Castro"/>
    <x v="0"/>
    <x v="276"/>
    <x v="0"/>
    <x v="0"/>
    <x v="1"/>
    <x v="0"/>
    <x v="0"/>
    <x v="0"/>
    <n v="20"/>
    <n v="3"/>
    <n v="62"/>
  </r>
  <r>
    <n v="3509"/>
    <s v="Oscar Martins"/>
    <x v="2"/>
    <x v="277"/>
    <x v="1"/>
    <x v="2"/>
    <x v="0"/>
    <x v="1"/>
    <x v="1"/>
    <x v="0"/>
    <n v="20"/>
    <n v="10"/>
    <n v="20"/>
  </r>
  <r>
    <n v="3510"/>
    <s v="Patrícia Oliveira"/>
    <x v="1"/>
    <x v="278"/>
    <x v="0"/>
    <x v="1"/>
    <x v="2"/>
    <x v="1"/>
    <x v="1"/>
    <x v="1"/>
    <n v="0"/>
    <n v="0"/>
    <n v="5"/>
  </r>
  <r>
    <n v="3511"/>
    <s v="Quentin Nogueira"/>
    <x v="0"/>
    <x v="279"/>
    <x v="1"/>
    <x v="0"/>
    <x v="0"/>
    <x v="0"/>
    <x v="0"/>
    <x v="0"/>
    <n v="20"/>
    <n v="15"/>
    <n v="50"/>
  </r>
  <r>
    <n v="3512"/>
    <s v="Raquel Silva"/>
    <x v="2"/>
    <x v="280"/>
    <x v="0"/>
    <x v="2"/>
    <x v="1"/>
    <x v="1"/>
    <x v="1"/>
    <x v="0"/>
    <n v="20"/>
    <n v="15"/>
    <n v="15"/>
  </r>
  <r>
    <n v="3513"/>
    <s v="Sandro Gomes"/>
    <x v="1"/>
    <x v="281"/>
    <x v="1"/>
    <x v="1"/>
    <x v="0"/>
    <x v="1"/>
    <x v="1"/>
    <x v="1"/>
    <n v="0"/>
    <n v="1"/>
    <n v="4"/>
  </r>
  <r>
    <n v="3514"/>
    <s v="Tânia Machado"/>
    <x v="0"/>
    <x v="282"/>
    <x v="0"/>
    <x v="0"/>
    <x v="2"/>
    <x v="0"/>
    <x v="0"/>
    <x v="0"/>
    <n v="20"/>
    <n v="7"/>
    <n v="58"/>
  </r>
  <r>
    <n v="3515"/>
    <s v="Ursula Silva"/>
    <x v="2"/>
    <x v="283"/>
    <x v="1"/>
    <x v="2"/>
    <x v="0"/>
    <x v="1"/>
    <x v="1"/>
    <x v="0"/>
    <n v="20"/>
    <n v="10"/>
    <n v="20"/>
  </r>
  <r>
    <n v="3516"/>
    <s v="Vanessa Moraes"/>
    <x v="1"/>
    <x v="284"/>
    <x v="0"/>
    <x v="1"/>
    <x v="1"/>
    <x v="1"/>
    <x v="1"/>
    <x v="1"/>
    <n v="0"/>
    <n v="0"/>
    <n v="5"/>
  </r>
  <r>
    <n v="3517"/>
    <s v="William Carvalho"/>
    <x v="0"/>
    <x v="285"/>
    <x v="1"/>
    <x v="0"/>
    <x v="0"/>
    <x v="0"/>
    <x v="0"/>
    <x v="0"/>
    <n v="20"/>
    <n v="20"/>
    <n v="45"/>
  </r>
  <r>
    <n v="3518"/>
    <s v="Xavier Reis"/>
    <x v="2"/>
    <x v="286"/>
    <x v="0"/>
    <x v="2"/>
    <x v="2"/>
    <x v="1"/>
    <x v="1"/>
    <x v="0"/>
    <n v="20"/>
    <n v="12"/>
    <n v="18"/>
  </r>
  <r>
    <n v="3519"/>
    <s v="Yasmin Rocha"/>
    <x v="1"/>
    <x v="287"/>
    <x v="1"/>
    <x v="1"/>
    <x v="0"/>
    <x v="1"/>
    <x v="1"/>
    <x v="1"/>
    <n v="0"/>
    <n v="2"/>
    <n v="3"/>
  </r>
  <r>
    <n v="3520"/>
    <s v="Zacarias Duarte"/>
    <x v="0"/>
    <x v="288"/>
    <x v="0"/>
    <x v="0"/>
    <x v="1"/>
    <x v="0"/>
    <x v="0"/>
    <x v="0"/>
    <n v="20"/>
    <n v="5"/>
    <n v="60"/>
  </r>
  <r>
    <n v="3521"/>
    <s v="Amanda Freitas"/>
    <x v="2"/>
    <x v="289"/>
    <x v="1"/>
    <x v="2"/>
    <x v="0"/>
    <x v="1"/>
    <x v="1"/>
    <x v="0"/>
    <n v="20"/>
    <n v="10"/>
    <n v="20"/>
  </r>
  <r>
    <n v="3522"/>
    <s v="Bruno Almeida"/>
    <x v="1"/>
    <x v="290"/>
    <x v="0"/>
    <x v="1"/>
    <x v="2"/>
    <x v="1"/>
    <x v="1"/>
    <x v="1"/>
    <n v="0"/>
    <n v="0"/>
    <n v="5"/>
  </r>
  <r>
    <n v="3523"/>
    <s v="Carla Siqueira"/>
    <x v="0"/>
    <x v="291"/>
    <x v="1"/>
    <x v="0"/>
    <x v="0"/>
    <x v="0"/>
    <x v="0"/>
    <x v="0"/>
    <n v="20"/>
    <n v="3"/>
    <n v="62"/>
  </r>
  <r>
    <n v="3524"/>
    <s v="Diogo Ramos"/>
    <x v="2"/>
    <x v="292"/>
    <x v="0"/>
    <x v="2"/>
    <x v="1"/>
    <x v="1"/>
    <x v="1"/>
    <x v="0"/>
    <n v="20"/>
    <n v="15"/>
    <n v="15"/>
  </r>
  <r>
    <n v="3525"/>
    <s v="Elisa Magalhães"/>
    <x v="1"/>
    <x v="293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C363A-987F-4F08-B0F3-175BCD9C091C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23C08-7FA3-4344-A64E-0FD10E72A81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oma de EA Play Season Pass" fld="8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9CF37-81CB-44F5-B93D-52C96122BE4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25:G28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B5731-1F09-4783-B81A-FC9C8B84E8FF}" name="Tabela dinâmica2" cacheId="0" applyNumberFormats="0" applyBorderFormats="0" applyFontFormats="0" applyPatternFormats="0" applyAlignmentFormats="0" applyWidthHeightFormats="1" dataCaption="Valores" updatedVersion="8" minRefreshableVersion="3" showDataTips="0" useAutoFormatting="1" itemPrintTitles="1" createdVersion="8" indent="0" showHeaders="0" outline="1" outlineData="1" chartFormat="21" customListSort="0">
  <location ref="F16:G20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axis="axisPage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Soma de Total Value" fld="12" baseField="0" baseItem="0" numFmtId="44"/>
  </dataFields>
  <chartFormats count="4"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3C72C6C-0EE9-4D0B-A549-14246A49EFFF}" sourceName="Subscription Type">
  <pivotTables>
    <pivotTable tabId="3" name="Tabela dinâmica2"/>
    <pivotTable tabId="3" name="Tabela dinâmica3"/>
    <pivotTable tabId="3" name="Tabela dinâmica4"/>
    <pivotTable tabId="3" name="Tabela dinâmica5"/>
  </pivotTables>
  <data>
    <tabular pivotCacheId="167970900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743785E-9043-4F76-A33A-85592E8540D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sortState xmlns:xlrd2="http://schemas.microsoft.com/office/spreadsheetml/2017/richdata2" ref="A2:M296">
    <sortCondition ref="D1:D296"/>
  </sortState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B7" sqref="B7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130" zoomScaleNormal="130" workbookViewId="0">
      <selection activeCell="C2" sqref="C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3236</v>
      </c>
      <c r="B6" s="8" t="s">
        <v>34</v>
      </c>
      <c r="C6" s="8" t="s">
        <v>26</v>
      </c>
      <c r="D6" s="10">
        <v>45353</v>
      </c>
      <c r="E6" s="8" t="s">
        <v>23</v>
      </c>
      <c r="F6" s="11">
        <v>10</v>
      </c>
      <c r="G6" s="8" t="s">
        <v>20</v>
      </c>
      <c r="H6" s="8" t="s">
        <v>23</v>
      </c>
      <c r="I6" s="11" t="s">
        <v>311</v>
      </c>
      <c r="J6" s="8" t="s">
        <v>19</v>
      </c>
      <c r="K6" s="11">
        <v>20</v>
      </c>
      <c r="L6" s="11">
        <v>2</v>
      </c>
      <c r="M6" s="11">
        <v>28</v>
      </c>
    </row>
    <row r="7" spans="1:13" ht="16.5" customHeight="1">
      <c r="A7" s="8">
        <v>3237</v>
      </c>
      <c r="B7" s="8" t="s">
        <v>35</v>
      </c>
      <c r="C7" s="8" t="s">
        <v>18</v>
      </c>
      <c r="D7" s="10">
        <v>45354</v>
      </c>
      <c r="E7" s="8" t="s">
        <v>19</v>
      </c>
      <c r="F7" s="11">
        <v>15</v>
      </c>
      <c r="G7" s="8" t="s">
        <v>27</v>
      </c>
      <c r="H7" s="8" t="s">
        <v>19</v>
      </c>
      <c r="I7" s="11">
        <v>30</v>
      </c>
      <c r="J7" s="8" t="s">
        <v>19</v>
      </c>
      <c r="K7" s="11">
        <v>20</v>
      </c>
      <c r="L7" s="11">
        <v>10</v>
      </c>
      <c r="M7" s="11">
        <v>55</v>
      </c>
    </row>
    <row r="8" spans="1:13" ht="16.5" customHeight="1">
      <c r="A8" s="8">
        <v>3238</v>
      </c>
      <c r="B8" s="8" t="s">
        <v>36</v>
      </c>
      <c r="C8" s="8" t="s">
        <v>22</v>
      </c>
      <c r="D8" s="10">
        <v>45355</v>
      </c>
      <c r="E8" s="8" t="s">
        <v>19</v>
      </c>
      <c r="F8" s="11">
        <v>5</v>
      </c>
      <c r="G8" s="8" t="s">
        <v>24</v>
      </c>
      <c r="H8" s="8" t="s">
        <v>23</v>
      </c>
      <c r="I8" s="11" t="s">
        <v>311</v>
      </c>
      <c r="J8" s="8" t="s">
        <v>23</v>
      </c>
      <c r="K8" s="11">
        <v>0</v>
      </c>
      <c r="L8" s="11">
        <v>0</v>
      </c>
      <c r="M8" s="11">
        <v>5</v>
      </c>
    </row>
    <row r="9" spans="1:13" ht="16.5" customHeight="1">
      <c r="A9" s="8">
        <v>3235</v>
      </c>
      <c r="B9" s="8" t="s">
        <v>29</v>
      </c>
      <c r="C9" s="8" t="s">
        <v>22</v>
      </c>
      <c r="D9" s="10">
        <v>45356</v>
      </c>
      <c r="E9" s="8" t="s">
        <v>19</v>
      </c>
      <c r="F9" s="11">
        <v>5</v>
      </c>
      <c r="G9" s="8" t="s">
        <v>20</v>
      </c>
      <c r="H9" s="8" t="s">
        <v>23</v>
      </c>
      <c r="I9" s="11" t="s">
        <v>311</v>
      </c>
      <c r="J9" s="8" t="s">
        <v>23</v>
      </c>
      <c r="K9" s="11">
        <v>0</v>
      </c>
      <c r="L9" s="11">
        <v>1</v>
      </c>
      <c r="M9" s="11">
        <v>4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I30"/>
  <sheetViews>
    <sheetView workbookViewId="0">
      <selection activeCell="C2" sqref="C2"/>
    </sheetView>
  </sheetViews>
  <sheetFormatPr defaultRowHeight="15"/>
  <cols>
    <col min="1" max="1" width="18.42578125" bestFit="1" customWidth="1"/>
    <col min="2" max="3" width="35.140625" bestFit="1" customWidth="1"/>
    <col min="4" max="4" width="30.5703125" bestFit="1" customWidth="1"/>
    <col min="5" max="5" width="6.28515625" customWidth="1"/>
    <col min="6" max="6" width="18.42578125" bestFit="1" customWidth="1"/>
    <col min="7" max="7" width="19.28515625" bestFit="1" customWidth="1"/>
    <col min="8" max="8" width="8.28515625" bestFit="1" customWidth="1"/>
    <col min="9" max="9" width="12.140625" bestFit="1" customWidth="1"/>
    <col min="10" max="10" width="10.7109375" bestFit="1" customWidth="1"/>
    <col min="11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9">
      <c r="A1" t="s">
        <v>313</v>
      </c>
    </row>
    <row r="2" spans="1:9">
      <c r="A2" t="s">
        <v>314</v>
      </c>
    </row>
    <row r="3" spans="1:9">
      <c r="A3" t="s">
        <v>315</v>
      </c>
    </row>
    <row r="4" spans="1:9">
      <c r="A4" t="s">
        <v>316</v>
      </c>
    </row>
    <row r="8" spans="1:9">
      <c r="I8" s="15"/>
    </row>
    <row r="14" spans="1:9">
      <c r="A14" s="12" t="s">
        <v>14</v>
      </c>
      <c r="B14" t="s">
        <v>319</v>
      </c>
      <c r="F14" s="12" t="s">
        <v>14</v>
      </c>
      <c r="G14" t="s">
        <v>319</v>
      </c>
    </row>
    <row r="16" spans="1:9">
      <c r="A16" s="12" t="s">
        <v>318</v>
      </c>
      <c r="B16" t="s">
        <v>321</v>
      </c>
      <c r="G16" t="s">
        <v>320</v>
      </c>
    </row>
    <row r="17" spans="1:7">
      <c r="A17" s="13" t="s">
        <v>22</v>
      </c>
      <c r="B17" s="21">
        <v>0</v>
      </c>
      <c r="F17" s="13" t="s">
        <v>24</v>
      </c>
      <c r="G17" s="14">
        <v>1754</v>
      </c>
    </row>
    <row r="18" spans="1:7">
      <c r="A18" s="13" t="s">
        <v>26</v>
      </c>
      <c r="B18" s="21">
        <v>0</v>
      </c>
      <c r="C18" s="15">
        <f>GETPIVOTDATA("EA Play Season Pass
Price",$A$16)</f>
        <v>2940</v>
      </c>
      <c r="F18" s="13" t="s">
        <v>20</v>
      </c>
      <c r="G18" s="14">
        <v>3571</v>
      </c>
    </row>
    <row r="19" spans="1:7">
      <c r="A19" s="13" t="s">
        <v>18</v>
      </c>
      <c r="B19" s="21">
        <v>2940</v>
      </c>
      <c r="F19" s="13" t="s">
        <v>27</v>
      </c>
      <c r="G19" s="14">
        <v>2308</v>
      </c>
    </row>
    <row r="20" spans="1:7">
      <c r="A20" s="13" t="s">
        <v>317</v>
      </c>
      <c r="B20" s="21">
        <v>2940</v>
      </c>
      <c r="F20" s="13" t="s">
        <v>317</v>
      </c>
      <c r="G20" s="14">
        <v>7633</v>
      </c>
    </row>
    <row r="24" spans="1:7">
      <c r="A24" s="12" t="s">
        <v>14</v>
      </c>
      <c r="B24" t="s">
        <v>319</v>
      </c>
    </row>
    <row r="25" spans="1:7">
      <c r="F25" s="12" t="s">
        <v>318</v>
      </c>
      <c r="G25" t="s">
        <v>320</v>
      </c>
    </row>
    <row r="26" spans="1:7">
      <c r="A26" s="12" t="s">
        <v>318</v>
      </c>
      <c r="B26" t="s">
        <v>322</v>
      </c>
      <c r="F26" s="13" t="s">
        <v>23</v>
      </c>
      <c r="G26" s="14">
        <v>3847</v>
      </c>
    </row>
    <row r="27" spans="1:7">
      <c r="A27" s="13" t="s">
        <v>22</v>
      </c>
      <c r="B27" s="14">
        <v>0</v>
      </c>
      <c r="C27" s="16">
        <f>GETPIVOTDATA("Minecraft Season Pass Price",$A$26)</f>
        <v>3880</v>
      </c>
      <c r="F27" s="13" t="s">
        <v>19</v>
      </c>
      <c r="G27" s="14">
        <v>3786</v>
      </c>
    </row>
    <row r="28" spans="1:7">
      <c r="A28" s="13" t="s">
        <v>26</v>
      </c>
      <c r="B28" s="14">
        <v>1920</v>
      </c>
      <c r="F28" s="13" t="s">
        <v>317</v>
      </c>
      <c r="G28" s="14">
        <v>7633</v>
      </c>
    </row>
    <row r="29" spans="1:7">
      <c r="A29" s="13" t="s">
        <v>18</v>
      </c>
      <c r="B29" s="14">
        <v>1960</v>
      </c>
    </row>
    <row r="30" spans="1:7">
      <c r="A30" s="13" t="s">
        <v>317</v>
      </c>
      <c r="B30" s="14">
        <v>3880</v>
      </c>
    </row>
  </sheetData>
  <printOptions gridLines="1"/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I14"/>
  <sheetViews>
    <sheetView showGridLines="0" showRowColHeaders="0" tabSelected="1" zoomScaleNormal="100" workbookViewId="0">
      <selection activeCell="P4" sqref="P4"/>
    </sheetView>
  </sheetViews>
  <sheetFormatPr defaultRowHeight="15"/>
  <cols>
    <col min="1" max="1" width="20" style="3" customWidth="1"/>
    <col min="2" max="2" width="14" style="3" customWidth="1"/>
    <col min="3" max="9" width="9.140625" style="7"/>
    <col min="10" max="10" width="23.42578125" style="7" bestFit="1" customWidth="1"/>
    <col min="11" max="11" width="9.140625" style="7"/>
    <col min="12" max="12" width="6.5703125" style="7" customWidth="1"/>
    <col min="13" max="16" width="9.140625" style="7"/>
    <col min="17" max="17" width="23.42578125" style="7" bestFit="1" customWidth="1"/>
    <col min="18" max="16384" width="9.140625" style="7"/>
  </cols>
  <sheetData>
    <row r="1" spans="1:35" customFormat="1" ht="61.5" customHeight="1" thickBot="1">
      <c r="A1" s="3"/>
      <c r="B1" s="3"/>
      <c r="F1" s="18" t="s">
        <v>323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customFormat="1">
      <c r="A2" s="3"/>
      <c r="B2" s="3"/>
    </row>
    <row r="3" spans="1:35" hidden="1"/>
    <row r="4" spans="1:35">
      <c r="D4" s="7" t="s">
        <v>325</v>
      </c>
    </row>
    <row r="5" spans="1:35" ht="10.5" customHeight="1"/>
    <row r="6" spans="1:35" ht="9.75" customHeight="1"/>
    <row r="7" spans="1:35" ht="33" customHeight="1">
      <c r="A7" s="19" t="s">
        <v>324</v>
      </c>
    </row>
    <row r="13" spans="1:35">
      <c r="H13" s="20"/>
      <c r="I13" s="20"/>
      <c r="J13" s="20"/>
      <c r="K13" s="20"/>
      <c r="L13" s="20"/>
      <c r="M13" s="20"/>
    </row>
    <row r="14" spans="1:35">
      <c r="H14" s="20"/>
      <c r="I14" s="20"/>
      <c r="J14" s="20"/>
      <c r="K14" s="20"/>
      <c r="L14" s="20"/>
      <c r="M14" s="20"/>
    </row>
  </sheetData>
  <mergeCells count="2">
    <mergeCell ref="H13:J14"/>
    <mergeCell ref="K13:M14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Juliana Inacio de Moraes</cp:lastModifiedBy>
  <dcterms:created xsi:type="dcterms:W3CDTF">2024-12-19T13:13:10Z</dcterms:created>
  <dcterms:modified xsi:type="dcterms:W3CDTF">2026-02-10T13:08:26Z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